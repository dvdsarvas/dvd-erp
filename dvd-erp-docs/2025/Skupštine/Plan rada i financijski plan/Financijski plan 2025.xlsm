
<file path=[Content_Types].xml><?xml version="1.0" encoding="utf-8"?>
<Types xmlns="http://schemas.openxmlformats.org/package/2006/content-types">
  <Default ContentType="image/jpeg" Extension="jpg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Financijski plan" sheetId="1" r:id="rId4"/>
  </sheets>
  <definedNames/>
  <calcPr/>
  <extLst>
    <ext uri="GoogleSheetsCustomDataVersion2">
      <go:sheetsCustomData xmlns:go="http://customooxmlschemas.google.com/" r:id="rId5" roundtripDataChecksum="p8M8DR2lCNOYowoAo8NjizJWgHD13QUsA3PQCMDZMOM="/>
    </ext>
  </extLst>
</workbook>
</file>

<file path=xl/sharedStrings.xml><?xml version="1.0" encoding="utf-8"?>
<sst xmlns="http://schemas.openxmlformats.org/spreadsheetml/2006/main" count="132" uniqueCount="122">
  <si>
    <t>Ur.Br:</t>
  </si>
  <si>
    <t>FINANCIJSKI PLAN ZA 2025. GODINU DVD Sarvaš</t>
  </si>
  <si>
    <t>PRIHODI</t>
  </si>
  <si>
    <t>Skupina</t>
  </si>
  <si>
    <t>Pod-skupina</t>
  </si>
  <si>
    <t>Odjeljak</t>
  </si>
  <si>
    <t>PRIHODI/PRIMICI</t>
  </si>
  <si>
    <t>Plan za 2025. g.</t>
  </si>
  <si>
    <t>1.</t>
  </si>
  <si>
    <t>2.</t>
  </si>
  <si>
    <t>3.</t>
  </si>
  <si>
    <t>4.</t>
  </si>
  <si>
    <t>7.</t>
  </si>
  <si>
    <t>PRIHODI POSLOVNE GODINE</t>
  </si>
  <si>
    <t>PRIHODI PO POSEBNIM PROPISIMA</t>
  </si>
  <si>
    <t>Prihodi po posebnim propisima iz proračuna</t>
  </si>
  <si>
    <t>Županije</t>
  </si>
  <si>
    <t>Prihodi po posebnim propisima iz ostalih</t>
  </si>
  <si>
    <t>izvora- Gradski proračun putem VZ Osijek</t>
  </si>
  <si>
    <t>Prihodi po posebnim propisima iz ostali izvora</t>
  </si>
  <si>
    <t>PRIHODI OD IMOVINE</t>
  </si>
  <si>
    <t>PRIHODI OD FINANCIJSKE IMOVINE</t>
  </si>
  <si>
    <t>Kamate na oročena sredstva i depozite</t>
  </si>
  <si>
    <t>po viđenju</t>
  </si>
  <si>
    <t>PRIHODI OD DONACIJA</t>
  </si>
  <si>
    <t>PRIHODI OD DONACIJA IZ PRORAČUNA</t>
  </si>
  <si>
    <t>Prihodi od donacija iz proračuna jedinica</t>
  </si>
  <si>
    <t>lokalne i regionalne samouprave-županija, grad</t>
  </si>
  <si>
    <t xml:space="preserve">PRIHODI OD TRGOVAČKIH DRUŠTAVA I </t>
  </si>
  <si>
    <t>OSTALIH PRAVNIH OSOBA</t>
  </si>
  <si>
    <t>Prihodi od trgovačkih društava i ostalih pravnih</t>
  </si>
  <si>
    <t>osoba</t>
  </si>
  <si>
    <t>PRIHODI OD GRAĐANA I KUĆANSTAVA</t>
  </si>
  <si>
    <t>Donacije fizičkih osoba</t>
  </si>
  <si>
    <t>OSTALI PRIHODI</t>
  </si>
  <si>
    <t>PRIHODI OD NAKNADE ŠTETE I REFUNDACIJA</t>
  </si>
  <si>
    <t>Prihodi od naknade štete-osiguranje</t>
  </si>
  <si>
    <t>Otpis obveza</t>
  </si>
  <si>
    <t>RASHODI</t>
  </si>
  <si>
    <t>Pod-odjeljak</t>
  </si>
  <si>
    <t>RASHODI/IZDACI</t>
  </si>
  <si>
    <t>RASHODI POSLOVNE GODINE</t>
  </si>
  <si>
    <t>MATERIJALNI RASHODI</t>
  </si>
  <si>
    <t>NAKNADE ČLANOVIMA U PRED. I IZVRŠNIM TJEL.</t>
  </si>
  <si>
    <t>Službena putovanja</t>
  </si>
  <si>
    <t>Dnevnice za službeni put</t>
  </si>
  <si>
    <t>Troškovi smještaja</t>
  </si>
  <si>
    <t xml:space="preserve">Naknade za uporabu privatnog automobila u </t>
  </si>
  <si>
    <t>službene svrhe</t>
  </si>
  <si>
    <t>Ostale naknade</t>
  </si>
  <si>
    <t>Stručno usavršavanje</t>
  </si>
  <si>
    <t>RASHODI ZA USLUGE</t>
  </si>
  <si>
    <t>Usluge telefona, pošte i prijevoza</t>
  </si>
  <si>
    <t>Telefonski izdaci</t>
  </si>
  <si>
    <t>Usluge prijevoza</t>
  </si>
  <si>
    <t xml:space="preserve">Poštarina </t>
  </si>
  <si>
    <t>Tekuće održavanje-nekretnina i pokretnih stvari</t>
  </si>
  <si>
    <t>Usluge promidžbe i informiranja-TV i radio,hosting,literatura</t>
  </si>
  <si>
    <t>Komunalne usluge</t>
  </si>
  <si>
    <t>Zdravstvene usluge</t>
  </si>
  <si>
    <t>Intelektual.usluge odvjetničke,računovodstvene i sl</t>
  </si>
  <si>
    <t>Ostale usluge</t>
  </si>
  <si>
    <t>Režijski troškovi kampa u Fažani</t>
  </si>
  <si>
    <t>Grafičke i ostale usluge</t>
  </si>
  <si>
    <t>Tehnički pregled i registracija vozila</t>
  </si>
  <si>
    <t>RASHODI ZA MATERIJAL I ENERGIJU</t>
  </si>
  <si>
    <t>Uredski materijal i ostali materijalni rashodi</t>
  </si>
  <si>
    <t>Uredski materijal</t>
  </si>
  <si>
    <t>Materijal i sredstva za zaštitu na radu</t>
  </si>
  <si>
    <t>Ostali materijalni rashodi</t>
  </si>
  <si>
    <t>Materijal i sirovine</t>
  </si>
  <si>
    <t>Energija</t>
  </si>
  <si>
    <t>Gorivo za vozila, nafta i naftni derivati</t>
  </si>
  <si>
    <t>Električna energija</t>
  </si>
  <si>
    <t>Plin, para, ugljen i drva</t>
  </si>
  <si>
    <t>Sitan inventar i autogume</t>
  </si>
  <si>
    <t>OSTALI NESPOMENUTI MATERIJALNI RASHODI</t>
  </si>
  <si>
    <t>Premije osiguranja</t>
  </si>
  <si>
    <t>Reprezentacija</t>
  </si>
  <si>
    <t>Ugostiteljske usluge</t>
  </si>
  <si>
    <t>Reprezentacija za skupštinu</t>
  </si>
  <si>
    <t>Reprezentacija ostale usluge i stvari-rad s mladeži</t>
  </si>
  <si>
    <t>Reprezentacija-natjecanje</t>
  </si>
  <si>
    <t>Kotizacije, pristojbe i sl.</t>
  </si>
  <si>
    <t>AMORTIZACIJA</t>
  </si>
  <si>
    <t>FINANCIJSKI RASHODI</t>
  </si>
  <si>
    <t>OSTALI FINANCIJSKI RASHODI</t>
  </si>
  <si>
    <t>Usluge platnog prometa</t>
  </si>
  <si>
    <t>Ostali financijski rashodi</t>
  </si>
  <si>
    <t>DONACIJE</t>
  </si>
  <si>
    <t>OSTALI RASHODI</t>
  </si>
  <si>
    <t>01</t>
  </si>
  <si>
    <t>NEPROIZVDENA DUGOTRAJNA IMOVINA</t>
  </si>
  <si>
    <t>051</t>
  </si>
  <si>
    <t>GRAĐEVINSKI OBJEKTI U PRIPREMI</t>
  </si>
  <si>
    <t>0511</t>
  </si>
  <si>
    <t>Zemljište, građevinski objekti u pripremi</t>
  </si>
  <si>
    <t>012</t>
  </si>
  <si>
    <t>NEMATERIJALNA IMOVINA</t>
  </si>
  <si>
    <t>0124</t>
  </si>
  <si>
    <t>Ulaganja radi prava uporabe</t>
  </si>
  <si>
    <t>021</t>
  </si>
  <si>
    <t xml:space="preserve">GRAĐEVINSKI OBJEKTI </t>
  </si>
  <si>
    <t>022</t>
  </si>
  <si>
    <t>POSTROJENJA I OPREMA</t>
  </si>
  <si>
    <t>0221</t>
  </si>
  <si>
    <t>Uredska operma i namještaj,računala</t>
  </si>
  <si>
    <t>0222</t>
  </si>
  <si>
    <t>Komunikacijska oprema-mobiteli i telefoni</t>
  </si>
  <si>
    <t>0223</t>
  </si>
  <si>
    <t>Oprema za protupožarnu zaštitu</t>
  </si>
  <si>
    <t>Vatrogasna zaštitna oprema</t>
  </si>
  <si>
    <t>Ostala vatrogasna oprema</t>
  </si>
  <si>
    <t>0225</t>
  </si>
  <si>
    <t>Instumenti, uređaji i strojevi</t>
  </si>
  <si>
    <t>023</t>
  </si>
  <si>
    <t>PRIJEVOZNA SREDSTVA</t>
  </si>
  <si>
    <t>0231</t>
  </si>
  <si>
    <t>Prijevozna sredstva u cestovnom prometu</t>
  </si>
  <si>
    <t>Vatrogasna vozila</t>
  </si>
  <si>
    <t>Predsjednik DVD-a Sarvaš</t>
  </si>
  <si>
    <t>Atila Vadoci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</si>
</sst>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4">
    <font>
      <sz val="11.0"/>
      <color theme="1"/>
      <name val="Calibri"/>
      <scheme val="minor"/>
    </font>
    <font>
      <i/>
      <sz val="11.0"/>
      <color rgb="FF000000"/>
      <name val="Tahoma"/>
    </font>
    <font>
      <sz val="11.0"/>
      <color rgb="FF000000"/>
      <name val="Tahoma"/>
    </font>
    <font>
      <b/>
      <i/>
      <sz val="12.0"/>
      <color rgb="FF000000"/>
      <name val="Tahoma"/>
    </font>
    <font>
      <b/>
      <sz val="12.0"/>
      <color rgb="FF000000"/>
      <name val="Tahoma"/>
    </font>
    <font>
      <sz val="9.0"/>
      <color rgb="FF000000"/>
      <name val="Tahoma"/>
    </font>
    <font/>
    <font>
      <i/>
      <sz val="8.0"/>
      <color rgb="FF000000"/>
      <name val="Tahoma"/>
    </font>
    <font>
      <sz val="12.0"/>
      <color rgb="FF000000"/>
      <name val="Tahoma"/>
    </font>
    <font>
      <b/>
      <sz val="11.0"/>
      <color rgb="FF000000"/>
      <name val="Tahoma"/>
    </font>
    <font>
      <b/>
      <i/>
      <sz val="11.0"/>
      <color rgb="FF000000"/>
      <name val="Tahoma"/>
    </font>
    <font>
      <sz val="11.0"/>
      <color rgb="FFFF0000"/>
      <name val="Tahoma"/>
    </font>
    <font>
      <b/>
      <sz val="11.0"/>
      <color theme="1"/>
      <name val="Tahoma"/>
    </font>
    <font>
      <sz val="11.0"/>
      <color theme="1"/>
      <name val="Tahoma"/>
    </font>
  </fonts>
  <fills count="7">
    <fill>
      <patternFill patternType="none"/>
    </fill>
    <fill>
      <patternFill patternType="lightGray"/>
    </fill>
    <fill>
      <patternFill patternType="solid">
        <fgColor rgb="FFA5A5A5"/>
        <bgColor rgb="FFA5A5A5"/>
      </patternFill>
    </fill>
    <fill>
      <patternFill patternType="solid">
        <fgColor rgb="FFD8D8D8"/>
        <bgColor rgb="FFD8D8D8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theme="0"/>
      </patternFill>
    </fill>
    <fill>
      <patternFill patternType="solid">
        <fgColor rgb="FFBFBFBF"/>
        <bgColor rgb="FFBFBFBF"/>
      </patternFill>
    </fill>
  </fills>
  <borders count="67">
    <border/>
    <border>
      <left style="thin">
        <color rgb="FF000000"/>
      </left>
      <right style="medium">
        <color rgb="FF000000"/>
      </right>
      <top style="thin">
        <color rgb="FF000000"/>
      </top>
    </border>
    <border>
      <left style="medium">
        <color rgb="FF000000"/>
      </left>
      <right style="medium">
        <color rgb="FF000000"/>
      </right>
      <top style="thin">
        <color rgb="FF000000"/>
      </top>
    </border>
    <border>
      <right style="medium">
        <color rgb="FF000000"/>
      </right>
      <top style="thin">
        <color rgb="FF000000"/>
      </top>
    </border>
    <border>
      <left style="medium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medium">
        <color rgb="FF000000"/>
      </right>
      <bottom style="medium">
        <color rgb="FF000000"/>
      </bottom>
    </border>
    <border>
      <left style="medium">
        <color rgb="FF000000"/>
      </left>
      <right style="medium">
        <color rgb="FF000000"/>
      </right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medium">
        <color rgb="FF000000"/>
      </left>
      <right style="thin">
        <color rgb="FF000000"/>
      </right>
      <bottom style="medium">
        <color rgb="FF000000"/>
      </bottom>
    </border>
    <border>
      <left style="thin">
        <color rgb="FF000000"/>
      </left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/>
      <right/>
      <top style="thin">
        <color rgb="FF000000"/>
      </top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hair">
        <color rgb="FF000000"/>
      </right>
      <bottom style="hair">
        <color rgb="FF000000"/>
      </bottom>
    </border>
    <border>
      <left style="hair">
        <color rgb="FF000000"/>
      </left>
      <right style="hair">
        <color rgb="FF000000"/>
      </right>
      <bottom style="hair">
        <color rgb="FF000000"/>
      </bottom>
    </border>
    <border>
      <left style="hair">
        <color rgb="FF000000"/>
      </left>
      <right style="thin">
        <color rgb="FF000000"/>
      </right>
      <bottom style="hair">
        <color rgb="FF000000"/>
      </bottom>
    </border>
    <border>
      <right style="thin">
        <color rgb="FF000000"/>
      </right>
      <bottom style="hair">
        <color rgb="FF000000"/>
      </bottom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</border>
    <border>
      <right style="thin">
        <color rgb="FF000000"/>
      </right>
      <top style="hair">
        <color rgb="FF000000"/>
      </top>
      <bottom style="hair">
        <color rgb="FF000000"/>
      </bottom>
    </border>
    <border>
      <left style="thin">
        <color rgb="FF000000"/>
      </left>
      <right style="hair">
        <color rgb="FF000000"/>
      </right>
      <top style="hair">
        <color rgb="FF000000"/>
      </top>
    </border>
    <border>
      <left style="hair">
        <color rgb="FF000000"/>
      </left>
      <right style="hair">
        <color rgb="FF000000"/>
      </right>
      <top style="hair">
        <color rgb="FF000000"/>
      </top>
    </border>
    <border>
      <left style="hair">
        <color rgb="FF000000"/>
      </left>
      <right style="thin">
        <color rgb="FF000000"/>
      </right>
      <top style="hair">
        <color rgb="FF000000"/>
      </top>
    </border>
    <border>
      <right style="thin">
        <color rgb="FF000000"/>
      </right>
      <top style="hair">
        <color rgb="FF000000"/>
      </top>
    </border>
    <border>
      <left/>
      <right style="thin">
        <color rgb="FF000000"/>
      </right>
      <top style="hair">
        <color rgb="FF000000"/>
      </top>
      <bottom style="hair">
        <color rgb="FF000000"/>
      </bottom>
    </border>
    <border>
      <left style="thin">
        <color rgb="FF000000"/>
      </left>
      <right style="hair">
        <color rgb="FF000000"/>
      </right>
      <top style="hair">
        <color rgb="FF000000"/>
      </top>
      <bottom/>
    </border>
    <border>
      <left style="hair">
        <color rgb="FF000000"/>
      </left>
      <right style="hair">
        <color rgb="FF000000"/>
      </right>
      <top style="hair">
        <color rgb="FF000000"/>
      </top>
      <bottom/>
    </border>
    <border>
      <left style="hair">
        <color rgb="FF000000"/>
      </left>
      <right style="thin">
        <color rgb="FF000000"/>
      </right>
      <top style="hair">
        <color rgb="FF000000"/>
      </top>
      <bottom/>
    </border>
    <border>
      <left/>
      <right style="thin">
        <color rgb="FF000000"/>
      </right>
      <top style="hair">
        <color rgb="FF000000"/>
      </top>
      <bottom/>
    </border>
    <border>
      <left style="thin">
        <color rgb="FF000000"/>
      </left>
      <right style="hair">
        <color rgb="FF000000"/>
      </right>
      <top style="hair">
        <color rgb="FF000000"/>
      </top>
      <bottom style="medium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</border>
    <border>
      <left style="hair">
        <color rgb="FF000000"/>
      </left>
      <right style="thin">
        <color rgb="FF000000"/>
      </right>
      <top style="hair">
        <color rgb="FF000000"/>
      </top>
      <bottom style="medium">
        <color rgb="FF000000"/>
      </bottom>
    </border>
    <border>
      <right style="thin">
        <color rgb="FF000000"/>
      </right>
      <top style="hair">
        <color rgb="FF000000"/>
      </top>
      <bottom style="medium">
        <color rgb="FF000000"/>
      </bottom>
    </border>
    <border>
      <left style="thin">
        <color rgb="FF000000"/>
      </left>
    </border>
    <border>
      <right style="thin">
        <color rgb="FF000000"/>
      </right>
    </border>
    <border>
      <left style="thin">
        <color rgb="FF000000"/>
      </left>
      <right style="medium">
        <color rgb="FF000000"/>
      </right>
      <top style="medium">
        <color rgb="FF000000"/>
      </top>
    </border>
    <border>
      <left style="medium">
        <color rgb="FF000000"/>
      </left>
      <right style="medium">
        <color rgb="FF000000"/>
      </right>
      <top style="medium">
        <color rgb="FF000000"/>
      </top>
    </border>
    <border>
      <left style="medium">
        <color rgb="FF000000"/>
      </left>
      <right style="thin">
        <color rgb="FF000000"/>
      </right>
      <top style="medium">
        <color rgb="FF000000"/>
      </top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right style="hair">
        <color rgb="FF000000"/>
      </right>
      <top style="thin">
        <color rgb="FF000000"/>
      </top>
      <bottom/>
    </border>
    <border>
      <left style="hair">
        <color rgb="FF000000"/>
      </left>
      <right style="hair">
        <color rgb="FF000000"/>
      </right>
      <top style="thin">
        <color rgb="FF000000"/>
      </top>
      <bottom/>
    </border>
    <border>
      <left style="hair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hair">
        <color rgb="FF000000"/>
      </right>
      <top/>
      <bottom style="hair">
        <color rgb="FF000000"/>
      </bottom>
    </border>
    <border>
      <left style="hair">
        <color rgb="FF000000"/>
      </left>
      <right style="hair">
        <color rgb="FF000000"/>
      </right>
      <top/>
      <bottom style="hair">
        <color rgb="FF000000"/>
      </bottom>
    </border>
    <border>
      <left style="hair">
        <color rgb="FF000000"/>
      </left>
      <right style="thin">
        <color rgb="FF000000"/>
      </right>
      <top/>
      <bottom style="hair">
        <color rgb="FF000000"/>
      </bottom>
    </border>
    <border>
      <left/>
      <right style="thin">
        <color rgb="FF000000"/>
      </right>
      <top/>
      <bottom style="hair">
        <color rgb="FF000000"/>
      </bottom>
    </border>
    <border>
      <left style="thin">
        <color rgb="FF000000"/>
      </left>
      <right style="hair">
        <color rgb="FF000000"/>
      </right>
      <top/>
      <bottom style="thin">
        <color rgb="FF000000"/>
      </bottom>
    </border>
    <border>
      <left style="hair">
        <color rgb="FF000000"/>
      </left>
      <right style="hair">
        <color rgb="FF000000"/>
      </right>
      <top/>
      <bottom style="thin">
        <color rgb="FF000000"/>
      </bottom>
    </border>
    <border>
      <left style="hair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hair">
        <color rgb="FF000000"/>
      </right>
      <top/>
      <bottom/>
    </border>
    <border>
      <left style="hair">
        <color rgb="FF000000"/>
      </left>
      <right style="hair">
        <color rgb="FF000000"/>
      </right>
      <top/>
      <bottom/>
    </border>
    <border>
      <left style="hair">
        <color rgb="FF000000"/>
      </left>
      <right style="thin">
        <color rgb="FF000000"/>
      </right>
      <top/>
      <bottom/>
    </border>
    <border>
      <left/>
      <right style="thin">
        <color rgb="FF000000"/>
      </right>
      <top/>
      <bottom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</border>
    <border>
      <right style="thin">
        <color rgb="FF000000"/>
      </right>
      <top style="hair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169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Alignment="1" applyFont="1">
      <alignment horizontal="center"/>
    </xf>
    <xf borderId="0" fillId="0" fontId="2" numFmtId="0" xfId="0" applyFont="1"/>
    <xf borderId="0" fillId="0" fontId="3" numFmtId="0" xfId="0" applyAlignment="1" applyFont="1">
      <alignment horizontal="center" readingOrder="0" vertical="center"/>
    </xf>
    <xf borderId="0" fillId="0" fontId="4" numFmtId="0" xfId="0" applyAlignment="1" applyFont="1">
      <alignment horizontal="left" vertical="center"/>
    </xf>
    <xf borderId="1" fillId="0" fontId="5" numFmtId="0" xfId="0" applyAlignment="1" applyBorder="1" applyFont="1">
      <alignment horizontal="center" shrinkToFit="0" vertical="center" wrapText="1"/>
    </xf>
    <xf borderId="2" fillId="0" fontId="5" numFmtId="0" xfId="0" applyAlignment="1" applyBorder="1" applyFont="1">
      <alignment horizontal="center" shrinkToFit="0" vertical="center" wrapText="1"/>
    </xf>
    <xf borderId="3" fillId="0" fontId="5" numFmtId="0" xfId="0" applyAlignment="1" applyBorder="1" applyFont="1">
      <alignment horizontal="center" vertical="center"/>
    </xf>
    <xf borderId="2" fillId="0" fontId="2" numFmtId="0" xfId="0" applyAlignment="1" applyBorder="1" applyFont="1">
      <alignment horizontal="center" vertical="center"/>
    </xf>
    <xf borderId="4" fillId="0" fontId="2" numFmtId="0" xfId="0" applyAlignment="1" applyBorder="1" applyFont="1">
      <alignment horizontal="center" shrinkToFit="0" vertical="center" wrapText="1"/>
    </xf>
    <xf borderId="0" fillId="0" fontId="2" numFmtId="0" xfId="0" applyAlignment="1" applyFont="1">
      <alignment horizontal="center" shrinkToFit="0" vertical="center" wrapText="1"/>
    </xf>
    <xf borderId="0" fillId="0" fontId="2" numFmtId="0" xfId="0" applyAlignment="1" applyFont="1">
      <alignment vertical="center"/>
    </xf>
    <xf borderId="5" fillId="0" fontId="6" numFmtId="0" xfId="0" applyBorder="1" applyFont="1"/>
    <xf borderId="6" fillId="0" fontId="6" numFmtId="0" xfId="0" applyBorder="1" applyFont="1"/>
    <xf borderId="7" fillId="0" fontId="6" numFmtId="0" xfId="0" applyBorder="1" applyFont="1"/>
    <xf borderId="8" fillId="0" fontId="6" numFmtId="0" xfId="0" applyBorder="1" applyFont="1"/>
    <xf borderId="9" fillId="0" fontId="7" numFmtId="0" xfId="0" applyAlignment="1" applyBorder="1" applyFont="1">
      <alignment horizontal="center" vertical="center"/>
    </xf>
    <xf borderId="10" fillId="0" fontId="7" numFmtId="0" xfId="0" applyAlignment="1" applyBorder="1" applyFont="1">
      <alignment horizontal="center" vertical="center"/>
    </xf>
    <xf borderId="11" fillId="0" fontId="7" numFmtId="0" xfId="0" applyAlignment="1" applyBorder="1" applyFont="1">
      <alignment horizontal="center" vertical="center"/>
    </xf>
    <xf borderId="12" fillId="0" fontId="7" numFmtId="0" xfId="0" applyAlignment="1" applyBorder="1" applyFont="1">
      <alignment horizontal="center" vertical="center"/>
    </xf>
    <xf borderId="0" fillId="0" fontId="1" numFmtId="0" xfId="0" applyAlignment="1" applyFont="1">
      <alignment vertical="center"/>
    </xf>
    <xf borderId="13" fillId="2" fontId="4" numFmtId="0" xfId="0" applyAlignment="1" applyBorder="1" applyFill="1" applyFont="1">
      <alignment horizontal="center"/>
    </xf>
    <xf borderId="14" fillId="2" fontId="8" numFmtId="0" xfId="0" applyAlignment="1" applyBorder="1" applyFont="1">
      <alignment horizontal="center"/>
    </xf>
    <xf borderId="15" fillId="2" fontId="4" numFmtId="0" xfId="0" applyAlignment="1" applyBorder="1" applyFont="1">
      <alignment horizontal="left"/>
    </xf>
    <xf borderId="15" fillId="2" fontId="4" numFmtId="4" xfId="0" applyAlignment="1" applyBorder="1" applyFont="1" applyNumberFormat="1">
      <alignment horizontal="right"/>
    </xf>
    <xf borderId="0" fillId="0" fontId="4" numFmtId="4" xfId="0" applyAlignment="1" applyFont="1" applyNumberFormat="1">
      <alignment horizontal="right"/>
    </xf>
    <xf borderId="0" fillId="0" fontId="2" numFmtId="4" xfId="0" applyFont="1" applyNumberFormat="1"/>
    <xf borderId="16" fillId="3" fontId="9" numFmtId="0" xfId="0" applyAlignment="1" applyBorder="1" applyFill="1" applyFont="1">
      <alignment horizontal="center"/>
    </xf>
    <xf borderId="17" fillId="3" fontId="2" numFmtId="0" xfId="0" applyAlignment="1" applyBorder="1" applyFont="1">
      <alignment horizontal="center"/>
    </xf>
    <xf borderId="18" fillId="3" fontId="9" numFmtId="0" xfId="0" applyAlignment="1" applyBorder="1" applyFont="1">
      <alignment horizontal="left"/>
    </xf>
    <xf borderId="15" fillId="3" fontId="9" numFmtId="4" xfId="0" applyAlignment="1" applyBorder="1" applyFont="1" applyNumberFormat="1">
      <alignment horizontal="right"/>
    </xf>
    <xf borderId="0" fillId="0" fontId="9" numFmtId="4" xfId="0" applyAlignment="1" applyFont="1" applyNumberFormat="1">
      <alignment horizontal="right"/>
    </xf>
    <xf borderId="19" fillId="0" fontId="10" numFmtId="0" xfId="0" applyAlignment="1" applyBorder="1" applyFont="1">
      <alignment horizontal="center"/>
    </xf>
    <xf borderId="20" fillId="0" fontId="10" numFmtId="0" xfId="0" applyAlignment="1" applyBorder="1" applyFont="1">
      <alignment horizontal="center"/>
    </xf>
    <xf borderId="21" fillId="0" fontId="10" numFmtId="0" xfId="0" applyAlignment="1" applyBorder="1" applyFont="1">
      <alignment horizontal="left"/>
    </xf>
    <xf borderId="22" fillId="0" fontId="10" numFmtId="4" xfId="0" applyAlignment="1" applyBorder="1" applyFont="1" applyNumberFormat="1">
      <alignment horizontal="right"/>
    </xf>
    <xf borderId="0" fillId="0" fontId="10" numFmtId="4" xfId="0" applyAlignment="1" applyFont="1" applyNumberFormat="1">
      <alignment horizontal="right"/>
    </xf>
    <xf borderId="0" fillId="0" fontId="10" numFmtId="0" xfId="0" applyFont="1"/>
    <xf borderId="23" fillId="0" fontId="2" numFmtId="0" xfId="0" applyAlignment="1" applyBorder="1" applyFont="1">
      <alignment horizontal="center"/>
    </xf>
    <xf borderId="24" fillId="0" fontId="2" numFmtId="0" xfId="0" applyAlignment="1" applyBorder="1" applyFont="1">
      <alignment horizontal="center"/>
    </xf>
    <xf borderId="25" fillId="0" fontId="2" numFmtId="0" xfId="0" applyAlignment="1" applyBorder="1" applyFont="1">
      <alignment horizontal="left"/>
    </xf>
    <xf borderId="26" fillId="0" fontId="2" numFmtId="4" xfId="0" applyAlignment="1" applyBorder="1" applyFont="1" applyNumberFormat="1">
      <alignment horizontal="right"/>
    </xf>
    <xf borderId="0" fillId="0" fontId="2" numFmtId="4" xfId="0" applyAlignment="1" applyFont="1" applyNumberFormat="1">
      <alignment horizontal="right"/>
    </xf>
    <xf borderId="27" fillId="0" fontId="2" numFmtId="0" xfId="0" applyAlignment="1" applyBorder="1" applyFont="1">
      <alignment horizontal="center"/>
    </xf>
    <xf borderId="28" fillId="0" fontId="2" numFmtId="0" xfId="0" applyAlignment="1" applyBorder="1" applyFont="1">
      <alignment horizontal="center"/>
    </xf>
    <xf borderId="29" fillId="0" fontId="2" numFmtId="0" xfId="0" applyAlignment="1" applyBorder="1" applyFont="1">
      <alignment horizontal="left"/>
    </xf>
    <xf borderId="30" fillId="0" fontId="2" numFmtId="4" xfId="0" applyAlignment="1" applyBorder="1" applyFont="1" applyNumberFormat="1">
      <alignment horizontal="right"/>
    </xf>
    <xf borderId="23" fillId="3" fontId="10" numFmtId="0" xfId="0" applyAlignment="1" applyBorder="1" applyFont="1">
      <alignment horizontal="center"/>
    </xf>
    <xf borderId="24" fillId="3" fontId="10" numFmtId="0" xfId="0" applyAlignment="1" applyBorder="1" applyFont="1">
      <alignment horizontal="center"/>
    </xf>
    <xf borderId="25" fillId="3" fontId="10" numFmtId="0" xfId="0" applyAlignment="1" applyBorder="1" applyFont="1">
      <alignment horizontal="left"/>
    </xf>
    <xf borderId="31" fillId="3" fontId="10" numFmtId="4" xfId="0" applyAlignment="1" applyBorder="1" applyFont="1" applyNumberFormat="1">
      <alignment horizontal="right"/>
    </xf>
    <xf borderId="25" fillId="0" fontId="10" numFmtId="0" xfId="0" applyAlignment="1" applyBorder="1" applyFont="1">
      <alignment horizontal="left"/>
    </xf>
    <xf borderId="32" fillId="3" fontId="10" numFmtId="0" xfId="0" applyAlignment="1" applyBorder="1" applyFont="1">
      <alignment horizontal="center"/>
    </xf>
    <xf borderId="33" fillId="3" fontId="10" numFmtId="0" xfId="0" applyAlignment="1" applyBorder="1" applyFont="1">
      <alignment horizontal="center"/>
    </xf>
    <xf borderId="34" fillId="3" fontId="10" numFmtId="0" xfId="0" applyAlignment="1" applyBorder="1" applyFont="1">
      <alignment horizontal="left"/>
    </xf>
    <xf borderId="35" fillId="3" fontId="10" numFmtId="4" xfId="0" applyAlignment="1" applyBorder="1" applyFont="1" applyNumberFormat="1">
      <alignment horizontal="right"/>
    </xf>
    <xf borderId="19" fillId="0" fontId="2" numFmtId="0" xfId="0" applyAlignment="1" applyBorder="1" applyFont="1">
      <alignment horizontal="center"/>
    </xf>
    <xf borderId="36" fillId="0" fontId="2" numFmtId="0" xfId="0" applyAlignment="1" applyBorder="1" applyFont="1">
      <alignment horizontal="center"/>
    </xf>
    <xf borderId="37" fillId="0" fontId="2" numFmtId="0" xfId="0" applyAlignment="1" applyBorder="1" applyFont="1">
      <alignment horizontal="center"/>
    </xf>
    <xf borderId="38" fillId="0" fontId="2" numFmtId="0" xfId="0" applyAlignment="1" applyBorder="1" applyFont="1">
      <alignment horizontal="left"/>
    </xf>
    <xf borderId="39" fillId="0" fontId="2" numFmtId="4" xfId="0" applyAlignment="1" applyBorder="1" applyFont="1" applyNumberFormat="1">
      <alignment horizontal="right"/>
    </xf>
    <xf borderId="40" fillId="0" fontId="4" numFmtId="0" xfId="0" applyAlignment="1" applyBorder="1" applyFont="1">
      <alignment horizontal="left" vertical="center"/>
    </xf>
    <xf borderId="0" fillId="0" fontId="2" numFmtId="0" xfId="0" applyAlignment="1" applyFont="1">
      <alignment horizontal="left" vertical="center"/>
    </xf>
    <xf borderId="41" fillId="0" fontId="2" numFmtId="4" xfId="0" applyAlignment="1" applyBorder="1" applyFont="1" applyNumberFormat="1">
      <alignment horizontal="right" vertical="center"/>
    </xf>
    <xf borderId="0" fillId="0" fontId="2" numFmtId="4" xfId="0" applyAlignment="1" applyFont="1" applyNumberFormat="1">
      <alignment horizontal="right" vertical="center"/>
    </xf>
    <xf borderId="42" fillId="0" fontId="5" numFmtId="0" xfId="0" applyAlignment="1" applyBorder="1" applyFont="1">
      <alignment horizontal="center" shrinkToFit="0" vertical="center" wrapText="1"/>
    </xf>
    <xf borderId="43" fillId="0" fontId="5" numFmtId="0" xfId="0" applyAlignment="1" applyBorder="1" applyFont="1">
      <alignment horizontal="center" shrinkToFit="0" vertical="center" wrapText="1"/>
    </xf>
    <xf borderId="43" fillId="0" fontId="5" numFmtId="0" xfId="0" applyAlignment="1" applyBorder="1" applyFont="1">
      <alignment horizontal="center" vertical="center"/>
    </xf>
    <xf borderId="43" fillId="0" fontId="2" numFmtId="0" xfId="0" applyAlignment="1" applyBorder="1" applyFont="1">
      <alignment horizontal="center" vertical="center"/>
    </xf>
    <xf borderId="44" fillId="0" fontId="2" numFmtId="0" xfId="0" applyAlignment="1" applyBorder="1" applyFont="1">
      <alignment horizontal="center" shrinkToFit="0" vertical="center" wrapText="1"/>
    </xf>
    <xf borderId="45" fillId="0" fontId="7" numFmtId="4" xfId="0" applyAlignment="1" applyBorder="1" applyFont="1" applyNumberFormat="1">
      <alignment horizontal="center" vertical="center"/>
    </xf>
    <xf borderId="0" fillId="0" fontId="7" numFmtId="4" xfId="0" applyAlignment="1" applyFont="1" applyNumberFormat="1">
      <alignment horizontal="center" vertical="center"/>
    </xf>
    <xf borderId="46" fillId="2" fontId="9" numFmtId="0" xfId="0" applyAlignment="1" applyBorder="1" applyFont="1">
      <alignment horizontal="center" vertical="center"/>
    </xf>
    <xf borderId="47" fillId="2" fontId="2" numFmtId="0" xfId="0" applyAlignment="1" applyBorder="1" applyFont="1">
      <alignment horizontal="center" vertical="center"/>
    </xf>
    <xf borderId="48" fillId="2" fontId="9" numFmtId="0" xfId="0" applyAlignment="1" applyBorder="1" applyFont="1">
      <alignment horizontal="left" vertical="center"/>
    </xf>
    <xf borderId="49" fillId="2" fontId="9" numFmtId="4" xfId="0" applyAlignment="1" applyBorder="1" applyFont="1" applyNumberFormat="1">
      <alignment horizontal="right" vertical="center"/>
    </xf>
    <xf borderId="0" fillId="0" fontId="9" numFmtId="4" xfId="0" applyAlignment="1" applyFont="1" applyNumberFormat="1">
      <alignment horizontal="right" vertical="center"/>
    </xf>
    <xf borderId="16" fillId="3" fontId="9" numFmtId="0" xfId="0" applyAlignment="1" applyBorder="1" applyFont="1">
      <alignment horizontal="center" vertical="center"/>
    </xf>
    <xf borderId="17" fillId="3" fontId="2" numFmtId="0" xfId="0" applyAlignment="1" applyBorder="1" applyFont="1">
      <alignment horizontal="center" vertical="center"/>
    </xf>
    <xf borderId="18" fillId="3" fontId="9" numFmtId="0" xfId="0" applyAlignment="1" applyBorder="1" applyFont="1">
      <alignment vertical="center"/>
    </xf>
    <xf borderId="49" fillId="3" fontId="9" numFmtId="4" xfId="0" applyAlignment="1" applyBorder="1" applyFont="1" applyNumberFormat="1">
      <alignment vertical="center"/>
    </xf>
    <xf borderId="0" fillId="0" fontId="9" numFmtId="4" xfId="0" applyAlignment="1" applyFont="1" applyNumberFormat="1">
      <alignment vertical="center"/>
    </xf>
    <xf borderId="50" fillId="4" fontId="10" numFmtId="0" xfId="0" applyAlignment="1" applyBorder="1" applyFill="1" applyFont="1">
      <alignment horizontal="center" vertical="center"/>
    </xf>
    <xf borderId="51" fillId="4" fontId="10" numFmtId="0" xfId="0" applyAlignment="1" applyBorder="1" applyFont="1">
      <alignment horizontal="center" vertical="center"/>
    </xf>
    <xf borderId="52" fillId="4" fontId="10" numFmtId="0" xfId="0" applyAlignment="1" applyBorder="1" applyFont="1">
      <alignment vertical="center"/>
    </xf>
    <xf borderId="53" fillId="4" fontId="10" numFmtId="4" xfId="0" applyAlignment="1" applyBorder="1" applyFont="1" applyNumberFormat="1">
      <alignment vertical="center"/>
    </xf>
    <xf borderId="0" fillId="0" fontId="10" numFmtId="4" xfId="0" applyAlignment="1" applyFont="1" applyNumberFormat="1">
      <alignment vertical="center"/>
    </xf>
    <xf borderId="23" fillId="0" fontId="2" numFmtId="0" xfId="0" applyAlignment="1" applyBorder="1" applyFont="1">
      <alignment horizontal="center" vertical="center"/>
    </xf>
    <xf borderId="24" fillId="0" fontId="2" numFmtId="0" xfId="0" applyAlignment="1" applyBorder="1" applyFont="1">
      <alignment horizontal="center" vertical="center"/>
    </xf>
    <xf borderId="25" fillId="0" fontId="2" numFmtId="0" xfId="0" applyAlignment="1" applyBorder="1" applyFont="1">
      <alignment vertical="center"/>
    </xf>
    <xf borderId="26" fillId="0" fontId="2" numFmtId="4" xfId="0" applyAlignment="1" applyBorder="1" applyFont="1" applyNumberFormat="1">
      <alignment vertical="center"/>
    </xf>
    <xf borderId="0" fillId="0" fontId="2" numFmtId="4" xfId="0" applyAlignment="1" applyFont="1" applyNumberFormat="1">
      <alignment vertical="center"/>
    </xf>
    <xf borderId="23" fillId="3" fontId="10" numFmtId="0" xfId="0" applyAlignment="1" applyBorder="1" applyFont="1">
      <alignment horizontal="center" vertical="center"/>
    </xf>
    <xf borderId="24" fillId="3" fontId="10" numFmtId="0" xfId="0" applyAlignment="1" applyBorder="1" applyFont="1">
      <alignment horizontal="center" vertical="center"/>
    </xf>
    <xf borderId="25" fillId="3" fontId="10" numFmtId="0" xfId="0" applyAlignment="1" applyBorder="1" applyFont="1">
      <alignment vertical="center"/>
    </xf>
    <xf borderId="31" fillId="3" fontId="10" numFmtId="4" xfId="0" applyAlignment="1" applyBorder="1" applyFont="1" applyNumberFormat="1">
      <alignment vertical="center"/>
    </xf>
    <xf borderId="23" fillId="3" fontId="2" numFmtId="0" xfId="0" applyAlignment="1" applyBorder="1" applyFont="1">
      <alignment horizontal="center" vertical="center"/>
    </xf>
    <xf borderId="24" fillId="3" fontId="2" numFmtId="0" xfId="0" applyAlignment="1" applyBorder="1" applyFont="1">
      <alignment horizontal="center" vertical="center"/>
    </xf>
    <xf borderId="25" fillId="3" fontId="2" numFmtId="0" xfId="0" applyAlignment="1" applyBorder="1" applyFont="1">
      <alignment vertical="center"/>
    </xf>
    <xf borderId="31" fillId="3" fontId="9" numFmtId="4" xfId="0" applyAlignment="1" applyBorder="1" applyFont="1" applyNumberFormat="1">
      <alignment vertical="center"/>
    </xf>
    <xf borderId="31" fillId="5" fontId="2" numFmtId="4" xfId="0" applyAlignment="1" applyBorder="1" applyFill="1" applyFont="1" applyNumberFormat="1">
      <alignment vertical="center"/>
    </xf>
    <xf borderId="41" fillId="0" fontId="2" numFmtId="4" xfId="0" applyAlignment="1" applyBorder="1" applyFont="1" applyNumberFormat="1">
      <alignment vertical="center"/>
    </xf>
    <xf borderId="27" fillId="0" fontId="2" numFmtId="0" xfId="0" applyAlignment="1" applyBorder="1" applyFont="1">
      <alignment horizontal="center" vertical="center"/>
    </xf>
    <xf borderId="28" fillId="0" fontId="2" numFmtId="0" xfId="0" applyAlignment="1" applyBorder="1" applyFont="1">
      <alignment horizontal="center" vertical="center"/>
    </xf>
    <xf borderId="29" fillId="0" fontId="2" numFmtId="0" xfId="0" applyAlignment="1" applyBorder="1" applyFont="1">
      <alignment vertical="center"/>
    </xf>
    <xf borderId="30" fillId="0" fontId="2" numFmtId="4" xfId="0" applyAlignment="1" applyBorder="1" applyFont="1" applyNumberFormat="1">
      <alignment vertical="center"/>
    </xf>
    <xf borderId="17" fillId="3" fontId="9" numFmtId="0" xfId="0" applyAlignment="1" applyBorder="1" applyFont="1">
      <alignment horizontal="center" vertical="center"/>
    </xf>
    <xf borderId="15" fillId="3" fontId="9" numFmtId="4" xfId="0" applyAlignment="1" applyBorder="1" applyFont="1" applyNumberFormat="1">
      <alignment vertical="center"/>
    </xf>
    <xf borderId="54" fillId="3" fontId="9" numFmtId="0" xfId="0" applyAlignment="1" applyBorder="1" applyFont="1">
      <alignment horizontal="center" vertical="center"/>
    </xf>
    <xf borderId="55" fillId="3" fontId="2" numFmtId="0" xfId="0" applyAlignment="1" applyBorder="1" applyFont="1">
      <alignment horizontal="center" vertical="center"/>
    </xf>
    <xf borderId="56" fillId="3" fontId="9" numFmtId="0" xfId="0" applyAlignment="1" applyBorder="1" applyFont="1">
      <alignment vertical="center"/>
    </xf>
    <xf borderId="57" fillId="3" fontId="9" numFmtId="4" xfId="0" applyAlignment="1" applyBorder="1" applyFont="1" applyNumberFormat="1">
      <alignment vertical="center"/>
    </xf>
    <xf borderId="50" fillId="3" fontId="10" numFmtId="0" xfId="0" applyAlignment="1" applyBorder="1" applyFont="1">
      <alignment horizontal="center" vertical="center"/>
    </xf>
    <xf borderId="51" fillId="3" fontId="10" numFmtId="0" xfId="0" applyAlignment="1" applyBorder="1" applyFont="1">
      <alignment horizontal="center" vertical="center"/>
    </xf>
    <xf borderId="52" fillId="3" fontId="10" numFmtId="0" xfId="0" applyAlignment="1" applyBorder="1" applyFont="1">
      <alignment vertical="center"/>
    </xf>
    <xf borderId="49" fillId="3" fontId="10" numFmtId="4" xfId="0" applyAlignment="1" applyBorder="1" applyFont="1" applyNumberFormat="1">
      <alignment vertical="center"/>
    </xf>
    <xf borderId="22" fillId="0" fontId="2" numFmtId="4" xfId="0" applyAlignment="1" applyBorder="1" applyFont="1" applyNumberFormat="1">
      <alignment vertical="center"/>
    </xf>
    <xf borderId="0" fillId="0" fontId="11" numFmtId="0" xfId="0" applyFont="1"/>
    <xf borderId="16" fillId="3" fontId="12" numFmtId="0" xfId="0" applyAlignment="1" applyBorder="1" applyFont="1">
      <alignment horizontal="center" vertical="center"/>
    </xf>
    <xf borderId="17" fillId="3" fontId="13" numFmtId="0" xfId="0" applyAlignment="1" applyBorder="1" applyFont="1">
      <alignment horizontal="center" vertical="center"/>
    </xf>
    <xf borderId="18" fillId="3" fontId="12" numFmtId="0" xfId="0" applyAlignment="1" applyBorder="1" applyFont="1">
      <alignment vertical="center"/>
    </xf>
    <xf borderId="15" fillId="3" fontId="12" numFmtId="4" xfId="0" applyAlignment="1" applyBorder="1" applyFont="1" applyNumberFormat="1">
      <alignment vertical="center"/>
    </xf>
    <xf borderId="0" fillId="0" fontId="12" numFmtId="4" xfId="0" applyAlignment="1" applyFont="1" applyNumberFormat="1">
      <alignment vertical="center"/>
    </xf>
    <xf borderId="58" fillId="3" fontId="9" numFmtId="0" xfId="0" applyAlignment="1" applyBorder="1" applyFont="1">
      <alignment horizontal="center" vertical="center"/>
    </xf>
    <xf borderId="59" fillId="3" fontId="2" numFmtId="0" xfId="0" applyAlignment="1" applyBorder="1" applyFont="1">
      <alignment horizontal="center" vertical="center"/>
    </xf>
    <xf borderId="60" fillId="3" fontId="9" numFmtId="0" xfId="0" applyAlignment="1" applyBorder="1" applyFont="1">
      <alignment vertical="center"/>
    </xf>
    <xf borderId="61" fillId="3" fontId="12" numFmtId="4" xfId="0" applyAlignment="1" applyBorder="1" applyFont="1" applyNumberFormat="1">
      <alignment vertical="center"/>
    </xf>
    <xf borderId="16" fillId="2" fontId="9" numFmtId="49" xfId="0" applyAlignment="1" applyBorder="1" applyFont="1" applyNumberFormat="1">
      <alignment horizontal="center" vertical="center"/>
    </xf>
    <xf borderId="17" fillId="2" fontId="2" numFmtId="0" xfId="0" applyAlignment="1" applyBorder="1" applyFont="1">
      <alignment horizontal="center" vertical="center"/>
    </xf>
    <xf borderId="18" fillId="2" fontId="9" numFmtId="0" xfId="0" applyAlignment="1" applyBorder="1" applyFont="1">
      <alignment vertical="center"/>
    </xf>
    <xf borderId="15" fillId="2" fontId="9" numFmtId="4" xfId="0" applyAlignment="1" applyBorder="1" applyFont="1" applyNumberFormat="1">
      <alignment vertical="center"/>
    </xf>
    <xf borderId="50" fillId="3" fontId="10" numFmtId="0" xfId="0" applyAlignment="1" applyBorder="1" applyFont="1">
      <alignment vertical="center"/>
    </xf>
    <xf borderId="51" fillId="3" fontId="10" numFmtId="49" xfId="0" applyAlignment="1" applyBorder="1" applyFont="1" applyNumberFormat="1">
      <alignment horizontal="center" vertical="center"/>
    </xf>
    <xf borderId="62" fillId="3" fontId="10" numFmtId="0" xfId="0" applyAlignment="1" applyBorder="1" applyFont="1">
      <alignment vertical="center"/>
    </xf>
    <xf borderId="62" fillId="3" fontId="9" numFmtId="4" xfId="0" applyAlignment="1" applyBorder="1" applyFont="1" applyNumberFormat="1">
      <alignment vertical="center"/>
    </xf>
    <xf borderId="0" fillId="0" fontId="9" numFmtId="0" xfId="0" applyAlignment="1" applyFont="1">
      <alignment vertical="center"/>
    </xf>
    <xf borderId="50" fillId="4" fontId="1" numFmtId="0" xfId="0" applyAlignment="1" applyBorder="1" applyFont="1">
      <alignment vertical="center"/>
    </xf>
    <xf borderId="51" fillId="4" fontId="1" numFmtId="0" xfId="0" applyAlignment="1" applyBorder="1" applyFont="1">
      <alignment horizontal="center" vertical="center"/>
    </xf>
    <xf borderId="51" fillId="4" fontId="2" numFmtId="49" xfId="0" applyAlignment="1" applyBorder="1" applyFont="1" applyNumberFormat="1">
      <alignment horizontal="center" vertical="center"/>
    </xf>
    <xf borderId="52" fillId="4" fontId="2" numFmtId="0" xfId="0" applyAlignment="1" applyBorder="1" applyFont="1">
      <alignment vertical="center"/>
    </xf>
    <xf borderId="53" fillId="3" fontId="10" numFmtId="4" xfId="0" applyAlignment="1" applyBorder="1" applyFont="1" applyNumberFormat="1">
      <alignment vertical="center"/>
    </xf>
    <xf borderId="23" fillId="4" fontId="2" numFmtId="0" xfId="0" applyAlignment="1" applyBorder="1" applyFont="1">
      <alignment horizontal="center" vertical="center"/>
    </xf>
    <xf borderId="24" fillId="4" fontId="2" numFmtId="0" xfId="0" applyAlignment="1" applyBorder="1" applyFont="1">
      <alignment horizontal="center" vertical="center"/>
    </xf>
    <xf borderId="24" fillId="4" fontId="2" numFmtId="49" xfId="0" applyAlignment="1" applyBorder="1" applyFont="1" applyNumberFormat="1">
      <alignment horizontal="center" vertical="center"/>
    </xf>
    <xf borderId="25" fillId="4" fontId="2" numFmtId="0" xfId="0" applyAlignment="1" applyBorder="1" applyFont="1">
      <alignment vertical="center"/>
    </xf>
    <xf borderId="31" fillId="4" fontId="2" numFmtId="4" xfId="0" applyAlignment="1" applyBorder="1" applyFont="1" applyNumberFormat="1">
      <alignment vertical="center"/>
    </xf>
    <xf borderId="24" fillId="3" fontId="10" numFmtId="49" xfId="0" applyAlignment="1" applyBorder="1" applyFont="1" applyNumberFormat="1">
      <alignment horizontal="center" vertical="center"/>
    </xf>
    <xf borderId="24" fillId="0" fontId="2" numFmtId="49" xfId="0" applyAlignment="1" applyBorder="1" applyFont="1" applyNumberFormat="1">
      <alignment horizontal="center" vertical="center"/>
    </xf>
    <xf borderId="23" fillId="6" fontId="2" numFmtId="0" xfId="0" applyAlignment="1" applyBorder="1" applyFill="1" applyFont="1">
      <alignment horizontal="center" vertical="center"/>
    </xf>
    <xf borderId="24" fillId="6" fontId="2" numFmtId="0" xfId="0" applyAlignment="1" applyBorder="1" applyFont="1">
      <alignment horizontal="center" vertical="center"/>
    </xf>
    <xf borderId="24" fillId="6" fontId="2" numFmtId="49" xfId="0" applyAlignment="1" applyBorder="1" applyFont="1" applyNumberFormat="1">
      <alignment horizontal="center" vertical="center"/>
    </xf>
    <xf borderId="25" fillId="6" fontId="2" numFmtId="0" xfId="0" applyAlignment="1" applyBorder="1" applyFont="1">
      <alignment vertical="center"/>
    </xf>
    <xf borderId="31" fillId="6" fontId="2" numFmtId="4" xfId="0" applyAlignment="1" applyBorder="1" applyFont="1" applyNumberFormat="1">
      <alignment vertical="center"/>
    </xf>
    <xf borderId="25" fillId="0" fontId="2" numFmtId="0" xfId="0" applyAlignment="1" applyBorder="1" applyFont="1">
      <alignment horizontal="left" vertical="center"/>
    </xf>
    <xf borderId="26" fillId="0" fontId="2" numFmtId="4" xfId="0" applyAlignment="1" applyBorder="1" applyFont="1" applyNumberFormat="1">
      <alignment horizontal="right" vertical="center"/>
    </xf>
    <xf borderId="25" fillId="3" fontId="10" numFmtId="0" xfId="0" applyAlignment="1" applyBorder="1" applyFont="1">
      <alignment horizontal="left" vertical="center"/>
    </xf>
    <xf borderId="31" fillId="3" fontId="10" numFmtId="4" xfId="0" applyAlignment="1" applyBorder="1" applyFont="1" applyNumberFormat="1">
      <alignment horizontal="right" vertical="center"/>
    </xf>
    <xf borderId="0" fillId="0" fontId="10" numFmtId="4" xfId="0" applyAlignment="1" applyFont="1" applyNumberFormat="1">
      <alignment horizontal="right" vertical="center"/>
    </xf>
    <xf borderId="29" fillId="0" fontId="2" numFmtId="0" xfId="0" applyAlignment="1" applyBorder="1" applyFont="1">
      <alignment horizontal="left" vertical="center"/>
    </xf>
    <xf borderId="30" fillId="0" fontId="2" numFmtId="4" xfId="0" applyAlignment="1" applyBorder="1" applyFont="1" applyNumberFormat="1">
      <alignment horizontal="right" vertical="center"/>
    </xf>
    <xf borderId="63" fillId="0" fontId="2" numFmtId="0" xfId="0" applyAlignment="1" applyBorder="1" applyFont="1">
      <alignment horizontal="center" vertical="center"/>
    </xf>
    <xf borderId="64" fillId="0" fontId="9" numFmtId="49" xfId="0" applyAlignment="1" applyBorder="1" applyFont="1" applyNumberFormat="1">
      <alignment horizontal="center" vertical="center"/>
    </xf>
    <xf borderId="64" fillId="0" fontId="2" numFmtId="0" xfId="0" applyAlignment="1" applyBorder="1" applyFont="1">
      <alignment horizontal="center" vertical="center"/>
    </xf>
    <xf borderId="65" fillId="0" fontId="2" numFmtId="0" xfId="0" applyAlignment="1" applyBorder="1" applyFont="1">
      <alignment horizontal="left" vertical="center"/>
    </xf>
    <xf borderId="66" fillId="0" fontId="2" numFmtId="4" xfId="0" applyAlignment="1" applyBorder="1" applyFont="1" applyNumberFormat="1">
      <alignment horizontal="right" vertical="center"/>
    </xf>
    <xf borderId="0" fillId="0" fontId="2" numFmtId="0" xfId="0" applyAlignment="1" applyFont="1">
      <alignment horizontal="left"/>
    </xf>
    <xf borderId="0" fillId="0" fontId="2" numFmtId="0" xfId="0" applyAlignment="1" applyFont="1">
      <alignment horizontal="right"/>
    </xf>
    <xf borderId="0" fillId="0" fontId="2" numFmtId="2" xfId="0" applyFont="1" applyNumberForma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2952750</xdr:colOff>
      <xdr:row>106</xdr:row>
      <xdr:rowOff>57150</xdr:rowOff>
    </xdr:from>
    <xdr:ext cx="685800" cy="323850"/>
    <xdr:pic>
      <xdr:nvPicPr>
        <xdr:cNvPr id="0" name="image1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1009650</xdr:colOff>
      <xdr:row>104</xdr:row>
      <xdr:rowOff>9525</xdr:rowOff>
    </xdr:from>
    <xdr:ext cx="1009650" cy="10191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3.71"/>
    <col customWidth="1" min="2" max="2" width="6.43"/>
    <col customWidth="1" min="3" max="3" width="6.29"/>
    <col customWidth="1" min="4" max="4" width="48.86"/>
    <col customWidth="1" min="5" max="6" width="14.43"/>
    <col customWidth="1" min="7" max="7" width="13.14"/>
    <col customWidth="1" min="8" max="19" width="10.14"/>
    <col customWidth="1" min="20" max="26" width="12.57"/>
  </cols>
  <sheetData>
    <row r="1" ht="13.5" customHeight="1">
      <c r="A1" s="1" t="s">
        <v>0</v>
      </c>
      <c r="B1" s="2"/>
      <c r="C1" s="2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</row>
    <row r="2" ht="15.0" customHeight="1">
      <c r="A2" s="4" t="s">
        <v>1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</row>
    <row r="3" ht="12.0" customHeight="1">
      <c r="A3" s="5" t="s">
        <v>2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ht="11.25" customHeight="1">
      <c r="A4" s="6" t="s">
        <v>3</v>
      </c>
      <c r="B4" s="7" t="s">
        <v>4</v>
      </c>
      <c r="C4" s="8" t="s">
        <v>5</v>
      </c>
      <c r="D4" s="9" t="s">
        <v>6</v>
      </c>
      <c r="E4" s="10" t="s">
        <v>7</v>
      </c>
      <c r="F4" s="11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</row>
    <row r="5" ht="15.0" customHeight="1">
      <c r="A5" s="13"/>
      <c r="B5" s="14"/>
      <c r="C5" s="15"/>
      <c r="D5" s="14"/>
      <c r="E5" s="16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</row>
    <row r="6" ht="14.25" customHeight="1">
      <c r="A6" s="17" t="s">
        <v>8</v>
      </c>
      <c r="B6" s="18" t="s">
        <v>9</v>
      </c>
      <c r="C6" s="19" t="s">
        <v>10</v>
      </c>
      <c r="D6" s="20" t="s">
        <v>11</v>
      </c>
      <c r="E6" s="18" t="s">
        <v>12</v>
      </c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</row>
    <row r="7" ht="14.25" customHeight="1">
      <c r="A7" s="22">
        <v>3.0</v>
      </c>
      <c r="B7" s="23"/>
      <c r="C7" s="23"/>
      <c r="D7" s="24" t="s">
        <v>13</v>
      </c>
      <c r="E7" s="25">
        <f>SUM(E8+E15+E19+E29)</f>
        <v>46456.06583</v>
      </c>
      <c r="F7" s="26"/>
      <c r="G7" s="26"/>
      <c r="H7" s="27"/>
      <c r="I7" s="3"/>
      <c r="J7" s="3"/>
      <c r="K7" s="3"/>
      <c r="L7" s="3"/>
      <c r="M7" s="3"/>
      <c r="N7" s="3"/>
      <c r="O7" s="3"/>
      <c r="P7" s="3"/>
      <c r="Q7" s="3"/>
      <c r="R7" s="3"/>
      <c r="S7" s="3"/>
    </row>
    <row r="8" ht="14.25" customHeight="1">
      <c r="A8" s="28">
        <v>33.0</v>
      </c>
      <c r="B8" s="29"/>
      <c r="C8" s="29"/>
      <c r="D8" s="30" t="s">
        <v>14</v>
      </c>
      <c r="E8" s="31">
        <f>SUM(E9)</f>
        <v>46456.06583</v>
      </c>
      <c r="F8" s="32"/>
      <c r="G8" s="32"/>
      <c r="H8" s="27"/>
      <c r="I8" s="3"/>
      <c r="J8" s="3"/>
      <c r="K8" s="3"/>
      <c r="L8" s="3"/>
      <c r="M8" s="3"/>
      <c r="N8" s="3"/>
      <c r="O8" s="3"/>
      <c r="P8" s="3"/>
      <c r="Q8" s="3"/>
      <c r="R8" s="3"/>
      <c r="S8" s="3"/>
    </row>
    <row r="9" ht="14.25" customHeight="1">
      <c r="A9" s="33"/>
      <c r="B9" s="34">
        <v>331.0</v>
      </c>
      <c r="C9" s="34"/>
      <c r="D9" s="35" t="s">
        <v>14</v>
      </c>
      <c r="E9" s="36">
        <f>SUM(E10+E12+E14)</f>
        <v>46456.06583</v>
      </c>
      <c r="F9" s="37"/>
      <c r="G9" s="37"/>
      <c r="H9" s="27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</row>
    <row r="10" ht="14.25" customHeight="1">
      <c r="A10" s="39"/>
      <c r="B10" s="40"/>
      <c r="C10" s="40">
        <v>3311.0</v>
      </c>
      <c r="D10" s="41" t="s">
        <v>15</v>
      </c>
      <c r="E10" s="42">
        <v>0.0</v>
      </c>
      <c r="F10" s="43"/>
      <c r="G10" s="43"/>
      <c r="H10" s="27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ht="14.25" customHeight="1">
      <c r="A11" s="39"/>
      <c r="B11" s="40"/>
      <c r="C11" s="40"/>
      <c r="D11" s="41" t="s">
        <v>16</v>
      </c>
      <c r="E11" s="42"/>
      <c r="F11" s="43"/>
      <c r="G11" s="43"/>
      <c r="H11" s="27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ht="14.25" customHeight="1">
      <c r="A12" s="39"/>
      <c r="B12" s="40"/>
      <c r="C12" s="40">
        <v>33110.0</v>
      </c>
      <c r="D12" s="41" t="s">
        <v>17</v>
      </c>
      <c r="E12" s="42">
        <v>46456.06583488187</v>
      </c>
      <c r="F12" s="43"/>
      <c r="G12" s="43"/>
      <c r="H12" s="27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ht="14.25" customHeight="1">
      <c r="A13" s="44"/>
      <c r="B13" s="45"/>
      <c r="C13" s="45"/>
      <c r="D13" s="46" t="s">
        <v>18</v>
      </c>
      <c r="E13" s="47"/>
      <c r="F13" s="43"/>
      <c r="G13" s="43"/>
      <c r="H13" s="27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ht="14.25" customHeight="1">
      <c r="A14" s="44"/>
      <c r="B14" s="45"/>
      <c r="C14" s="45">
        <v>33111.0</v>
      </c>
      <c r="D14" s="46" t="s">
        <v>19</v>
      </c>
      <c r="E14" s="47">
        <v>0.0</v>
      </c>
      <c r="F14" s="43"/>
      <c r="G14" s="43"/>
      <c r="H14" s="27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ht="14.25" customHeight="1">
      <c r="A15" s="28">
        <v>34.0</v>
      </c>
      <c r="B15" s="29"/>
      <c r="C15" s="29"/>
      <c r="D15" s="30" t="s">
        <v>20</v>
      </c>
      <c r="E15" s="31">
        <f t="shared" ref="E15:E16" si="1">SUM(E16)</f>
        <v>0</v>
      </c>
      <c r="F15" s="32"/>
      <c r="G15" s="32"/>
      <c r="H15" s="27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ht="14.25" customHeight="1">
      <c r="A16" s="33"/>
      <c r="B16" s="34">
        <v>341.0</v>
      </c>
      <c r="C16" s="34"/>
      <c r="D16" s="35" t="s">
        <v>21</v>
      </c>
      <c r="E16" s="36">
        <f t="shared" si="1"/>
        <v>0</v>
      </c>
      <c r="F16" s="37"/>
      <c r="G16" s="37"/>
      <c r="H16" s="27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</row>
    <row r="17" ht="14.25" customHeight="1">
      <c r="A17" s="39"/>
      <c r="B17" s="40"/>
      <c r="C17" s="40">
        <v>3413.0</v>
      </c>
      <c r="D17" s="41" t="s">
        <v>22</v>
      </c>
      <c r="E17" s="42">
        <v>0.0</v>
      </c>
      <c r="F17" s="43"/>
      <c r="G17" s="43"/>
      <c r="H17" s="27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ht="14.25" customHeight="1">
      <c r="A18" s="44"/>
      <c r="B18" s="45"/>
      <c r="C18" s="45"/>
      <c r="D18" s="46" t="s">
        <v>23</v>
      </c>
      <c r="E18" s="47"/>
      <c r="F18" s="43"/>
      <c r="G18" s="43"/>
      <c r="H18" s="27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ht="14.25" customHeight="1">
      <c r="A19" s="28">
        <v>35.0</v>
      </c>
      <c r="B19" s="29"/>
      <c r="C19" s="29"/>
      <c r="D19" s="30" t="s">
        <v>24</v>
      </c>
      <c r="E19" s="31">
        <f>SUM(E20+E23+E27)</f>
        <v>0</v>
      </c>
      <c r="F19" s="32"/>
      <c r="G19" s="32"/>
      <c r="H19" s="27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ht="14.25" customHeight="1">
      <c r="A20" s="33"/>
      <c r="B20" s="34">
        <v>351.0</v>
      </c>
      <c r="C20" s="34"/>
      <c r="D20" s="35" t="s">
        <v>25</v>
      </c>
      <c r="E20" s="36">
        <v>0.0</v>
      </c>
      <c r="F20" s="37"/>
      <c r="G20" s="37"/>
      <c r="H20" s="27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</row>
    <row r="21" ht="14.25" customHeight="1">
      <c r="A21" s="39"/>
      <c r="B21" s="40"/>
      <c r="C21" s="40">
        <v>3512.0</v>
      </c>
      <c r="D21" s="41" t="s">
        <v>26</v>
      </c>
      <c r="E21" s="36">
        <v>0.0</v>
      </c>
      <c r="F21" s="37"/>
      <c r="G21" s="37"/>
      <c r="H21" s="27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ht="14.25" customHeight="1">
      <c r="A22" s="39"/>
      <c r="B22" s="40"/>
      <c r="C22" s="40"/>
      <c r="D22" s="41" t="s">
        <v>27</v>
      </c>
      <c r="E22" s="42"/>
      <c r="F22" s="43"/>
      <c r="G22" s="43"/>
      <c r="H22" s="27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ht="14.25" hidden="1" customHeight="1">
      <c r="A23" s="48"/>
      <c r="B23" s="49">
        <v>353.0</v>
      </c>
      <c r="C23" s="49"/>
      <c r="D23" s="50" t="s">
        <v>28</v>
      </c>
      <c r="E23" s="51">
        <f>SUM(E25)</f>
        <v>0</v>
      </c>
      <c r="F23" s="37"/>
      <c r="G23" s="37"/>
      <c r="H23" s="27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</row>
    <row r="24" ht="14.25" hidden="1" customHeight="1">
      <c r="A24" s="39"/>
      <c r="B24" s="40"/>
      <c r="C24" s="40"/>
      <c r="D24" s="52" t="s">
        <v>29</v>
      </c>
      <c r="E24" s="42"/>
      <c r="F24" s="43"/>
      <c r="G24" s="43"/>
      <c r="H24" s="27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ht="14.25" hidden="1" customHeight="1">
      <c r="A25" s="39"/>
      <c r="B25" s="40"/>
      <c r="C25" s="40">
        <v>3531.0</v>
      </c>
      <c r="D25" s="41" t="s">
        <v>30</v>
      </c>
      <c r="E25" s="42">
        <v>0.0</v>
      </c>
      <c r="F25" s="43"/>
      <c r="G25" s="43"/>
      <c r="H25" s="27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ht="14.25" hidden="1" customHeight="1">
      <c r="A26" s="44"/>
      <c r="B26" s="45"/>
      <c r="C26" s="45"/>
      <c r="D26" s="46" t="s">
        <v>31</v>
      </c>
      <c r="E26" s="47"/>
      <c r="F26" s="43"/>
      <c r="G26" s="43"/>
      <c r="H26" s="27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ht="14.25" customHeight="1">
      <c r="A27" s="53"/>
      <c r="B27" s="54">
        <v>354.0</v>
      </c>
      <c r="C27" s="54"/>
      <c r="D27" s="55" t="s">
        <v>32</v>
      </c>
      <c r="E27" s="56">
        <f>SUM(E28)</f>
        <v>0</v>
      </c>
      <c r="F27" s="37"/>
      <c r="G27" s="37"/>
      <c r="H27" s="27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</row>
    <row r="28" ht="14.25" customHeight="1">
      <c r="A28" s="44"/>
      <c r="B28" s="45"/>
      <c r="C28" s="45">
        <v>3541.0</v>
      </c>
      <c r="D28" s="46" t="s">
        <v>33</v>
      </c>
      <c r="E28" s="47">
        <v>0.0</v>
      </c>
      <c r="F28" s="43"/>
      <c r="G28" s="43"/>
      <c r="H28" s="27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ht="14.25" customHeight="1">
      <c r="A29" s="28">
        <v>36.0</v>
      </c>
      <c r="B29" s="29"/>
      <c r="C29" s="29"/>
      <c r="D29" s="30" t="s">
        <v>34</v>
      </c>
      <c r="E29" s="31">
        <f>SUM(E30)</f>
        <v>0</v>
      </c>
      <c r="F29" s="32"/>
      <c r="G29" s="32"/>
      <c r="H29" s="27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ht="14.25" customHeight="1">
      <c r="A30" s="57"/>
      <c r="B30" s="34">
        <v>361.0</v>
      </c>
      <c r="C30" s="34"/>
      <c r="D30" s="35" t="s">
        <v>35</v>
      </c>
      <c r="E30" s="36">
        <f>SUM(E31+E32)</f>
        <v>0</v>
      </c>
      <c r="F30" s="37"/>
      <c r="G30" s="37"/>
      <c r="H30" s="27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ht="14.25" customHeight="1">
      <c r="A31" s="39"/>
      <c r="B31" s="40"/>
      <c r="C31" s="40">
        <v>3611.0</v>
      </c>
      <c r="D31" s="41" t="s">
        <v>36</v>
      </c>
      <c r="E31" s="42">
        <v>0.0</v>
      </c>
      <c r="F31" s="43"/>
      <c r="G31" s="43"/>
      <c r="H31" s="27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ht="14.25" customHeight="1">
      <c r="A32" s="58"/>
      <c r="B32" s="59"/>
      <c r="C32" s="59">
        <v>3631.0</v>
      </c>
      <c r="D32" s="60" t="s">
        <v>37</v>
      </c>
      <c r="E32" s="61">
        <v>0.0</v>
      </c>
      <c r="F32" s="43"/>
      <c r="G32" s="43"/>
      <c r="H32" s="27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ht="14.25" customHeight="1">
      <c r="A33" s="62" t="s">
        <v>38</v>
      </c>
      <c r="D33" s="63"/>
      <c r="E33" s="64"/>
      <c r="F33" s="65"/>
      <c r="G33" s="65"/>
      <c r="H33" s="27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ht="13.5" customHeight="1">
      <c r="A34" s="66" t="s">
        <v>3</v>
      </c>
      <c r="B34" s="67" t="s">
        <v>39</v>
      </c>
      <c r="C34" s="68" t="s">
        <v>5</v>
      </c>
      <c r="D34" s="69" t="s">
        <v>40</v>
      </c>
      <c r="E34" s="70" t="s">
        <v>7</v>
      </c>
      <c r="F34" s="11"/>
      <c r="G34" s="11"/>
      <c r="H34" s="27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ht="16.5" customHeight="1">
      <c r="A35" s="13"/>
      <c r="B35" s="14"/>
      <c r="C35" s="14"/>
      <c r="D35" s="14"/>
      <c r="E35" s="16"/>
      <c r="H35" s="27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ht="14.25" customHeight="1">
      <c r="A36" s="17" t="s">
        <v>8</v>
      </c>
      <c r="B36" s="18" t="s">
        <v>9</v>
      </c>
      <c r="C36" s="19" t="s">
        <v>10</v>
      </c>
      <c r="D36" s="18" t="s">
        <v>11</v>
      </c>
      <c r="E36" s="71" t="s">
        <v>12</v>
      </c>
      <c r="F36" s="72"/>
      <c r="G36" s="72"/>
      <c r="H36" s="27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</row>
    <row r="37" ht="14.25" customHeight="1">
      <c r="A37" s="73" t="s">
        <v>11</v>
      </c>
      <c r="B37" s="74"/>
      <c r="C37" s="74"/>
      <c r="D37" s="75" t="s">
        <v>41</v>
      </c>
      <c r="E37" s="76">
        <f>SUM(E38+E80+E81+E85+E86)</f>
        <v>42859.03902</v>
      </c>
      <c r="F37" s="77"/>
      <c r="G37" s="77"/>
      <c r="H37" s="27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ht="14.25" customHeight="1">
      <c r="A38" s="78">
        <v>42.0</v>
      </c>
      <c r="B38" s="79"/>
      <c r="C38" s="79"/>
      <c r="D38" s="80" t="s">
        <v>42</v>
      </c>
      <c r="E38" s="81">
        <f>SUM(E39+E47+E61+E72)</f>
        <v>36554.28723</v>
      </c>
      <c r="F38" s="82"/>
      <c r="G38" s="82"/>
      <c r="H38" s="27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ht="14.25" customHeight="1">
      <c r="A39" s="83"/>
      <c r="B39" s="84">
        <v>422.0</v>
      </c>
      <c r="C39" s="84"/>
      <c r="D39" s="85" t="s">
        <v>43</v>
      </c>
      <c r="E39" s="86">
        <f>SUM(E40:E46)</f>
        <v>5972.92275</v>
      </c>
      <c r="F39" s="87"/>
      <c r="G39" s="87"/>
      <c r="H39" s="27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</row>
    <row r="40" ht="14.25" customHeight="1">
      <c r="A40" s="88"/>
      <c r="B40" s="89"/>
      <c r="C40" s="89">
        <v>4222.0</v>
      </c>
      <c r="D40" s="90" t="s">
        <v>44</v>
      </c>
      <c r="E40" s="91">
        <v>1990.9742500663658</v>
      </c>
      <c r="F40" s="92"/>
      <c r="G40" s="92"/>
      <c r="H40" s="27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ht="13.5" customHeight="1">
      <c r="A41" s="88"/>
      <c r="B41" s="89"/>
      <c r="C41" s="89"/>
      <c r="D41" s="90" t="s">
        <v>45</v>
      </c>
      <c r="E41" s="91">
        <v>398.1948500132732</v>
      </c>
      <c r="F41" s="92"/>
      <c r="G41" s="92"/>
      <c r="H41" s="27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ht="14.25" customHeight="1">
      <c r="A42" s="88"/>
      <c r="B42" s="89"/>
      <c r="C42" s="89"/>
      <c r="D42" s="90" t="s">
        <v>46</v>
      </c>
      <c r="E42" s="91">
        <v>1990.9742500663658</v>
      </c>
      <c r="F42" s="92"/>
      <c r="G42" s="92"/>
      <c r="H42" s="27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ht="14.25" customHeight="1">
      <c r="A43" s="88"/>
      <c r="B43" s="89"/>
      <c r="C43" s="89"/>
      <c r="D43" s="90" t="s">
        <v>47</v>
      </c>
      <c r="E43" s="91">
        <v>0.0</v>
      </c>
      <c r="F43" s="92"/>
      <c r="G43" s="92"/>
      <c r="H43" s="27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ht="14.25" customHeight="1">
      <c r="A44" s="88"/>
      <c r="B44" s="89"/>
      <c r="C44" s="89"/>
      <c r="D44" s="90" t="s">
        <v>48</v>
      </c>
      <c r="E44" s="91">
        <v>265.4632333421821</v>
      </c>
      <c r="F44" s="92"/>
      <c r="G44" s="92"/>
      <c r="H44" s="27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ht="14.25" customHeight="1">
      <c r="A45" s="88"/>
      <c r="B45" s="89"/>
      <c r="C45" s="89">
        <v>4224.0</v>
      </c>
      <c r="D45" s="90" t="s">
        <v>49</v>
      </c>
      <c r="E45" s="91">
        <v>0.0</v>
      </c>
      <c r="F45" s="92"/>
      <c r="G45" s="92"/>
      <c r="H45" s="27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ht="14.25" customHeight="1">
      <c r="A46" s="88"/>
      <c r="B46" s="89"/>
      <c r="C46" s="89">
        <v>4213.0</v>
      </c>
      <c r="D46" s="90" t="s">
        <v>50</v>
      </c>
      <c r="E46" s="91">
        <v>1327.3161667109105</v>
      </c>
      <c r="F46" s="92"/>
      <c r="G46" s="92"/>
      <c r="H46" s="27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ht="14.25" customHeight="1">
      <c r="A47" s="93"/>
      <c r="B47" s="94">
        <v>425.0</v>
      </c>
      <c r="C47" s="94"/>
      <c r="D47" s="95" t="s">
        <v>51</v>
      </c>
      <c r="E47" s="96">
        <f>SUM(E48+E52+E53+E54+E55+E56+E57)</f>
        <v>11667.10911</v>
      </c>
      <c r="F47" s="87"/>
      <c r="G47" s="87"/>
      <c r="H47" s="27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</row>
    <row r="48" ht="14.25" customHeight="1">
      <c r="A48" s="97"/>
      <c r="B48" s="98"/>
      <c r="C48" s="98">
        <v>4251.0</v>
      </c>
      <c r="D48" s="99" t="s">
        <v>52</v>
      </c>
      <c r="E48" s="100">
        <f>SUM(E49+E51+E50)</f>
        <v>3185.5588</v>
      </c>
      <c r="F48" s="82"/>
      <c r="G48" s="82"/>
      <c r="H48" s="27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ht="14.25" customHeight="1">
      <c r="A49" s="88"/>
      <c r="B49" s="89"/>
      <c r="C49" s="89"/>
      <c r="D49" s="90" t="s">
        <v>53</v>
      </c>
      <c r="E49" s="91">
        <v>3185.5588001061856</v>
      </c>
      <c r="F49" s="92"/>
      <c r="G49" s="92"/>
      <c r="H49" s="27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ht="14.25" customHeight="1">
      <c r="A50" s="88"/>
      <c r="B50" s="89"/>
      <c r="C50" s="89"/>
      <c r="D50" s="90" t="s">
        <v>54</v>
      </c>
      <c r="E50" s="91">
        <v>0.0</v>
      </c>
      <c r="F50" s="92"/>
      <c r="G50" s="92"/>
      <c r="H50" s="27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ht="14.25" customHeight="1">
      <c r="A51" s="88"/>
      <c r="B51" s="89"/>
      <c r="C51" s="89"/>
      <c r="D51" s="90" t="s">
        <v>55</v>
      </c>
      <c r="E51" s="91">
        <v>0.0</v>
      </c>
      <c r="F51" s="92"/>
      <c r="G51" s="92"/>
      <c r="H51" s="27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ht="14.25" customHeight="1">
      <c r="A52" s="88"/>
      <c r="B52" s="89"/>
      <c r="C52" s="89">
        <v>4252.0</v>
      </c>
      <c r="D52" s="90" t="s">
        <v>56</v>
      </c>
      <c r="E52" s="91">
        <v>5508.362091850279</v>
      </c>
      <c r="F52" s="92"/>
      <c r="G52" s="92"/>
      <c r="H52" s="27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ht="14.25" customHeight="1">
      <c r="A53" s="88"/>
      <c r="B53" s="89"/>
      <c r="C53" s="89">
        <v>4253.0</v>
      </c>
      <c r="D53" s="90" t="s">
        <v>57</v>
      </c>
      <c r="E53" s="91">
        <v>39.819485001327315</v>
      </c>
      <c r="F53" s="92"/>
      <c r="G53" s="92"/>
      <c r="H53" s="27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ht="14.25" customHeight="1">
      <c r="A54" s="88"/>
      <c r="B54" s="89"/>
      <c r="C54" s="89">
        <v>4254.0</v>
      </c>
      <c r="D54" s="90" t="s">
        <v>58</v>
      </c>
      <c r="E54" s="91">
        <v>424.7411733474914</v>
      </c>
      <c r="F54" s="92"/>
      <c r="G54" s="92"/>
      <c r="H54" s="27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ht="14.25" customHeight="1">
      <c r="A55" s="88"/>
      <c r="B55" s="89"/>
      <c r="C55" s="89">
        <v>4256.0</v>
      </c>
      <c r="D55" s="90" t="s">
        <v>59</v>
      </c>
      <c r="E55" s="91">
        <v>398.1948500132732</v>
      </c>
      <c r="F55" s="92"/>
      <c r="G55" s="92"/>
      <c r="H55" s="27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ht="14.25" customHeight="1">
      <c r="A56" s="88"/>
      <c r="B56" s="89"/>
      <c r="C56" s="89">
        <v>4257.0</v>
      </c>
      <c r="D56" s="90" t="s">
        <v>60</v>
      </c>
      <c r="E56" s="101">
        <v>1221.1308733740377</v>
      </c>
      <c r="F56" s="92"/>
      <c r="G56" s="92"/>
      <c r="H56" s="27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ht="14.25" customHeight="1">
      <c r="A57" s="97"/>
      <c r="B57" s="98"/>
      <c r="C57" s="98">
        <v>4259.0</v>
      </c>
      <c r="D57" s="99" t="s">
        <v>61</v>
      </c>
      <c r="E57" s="100">
        <f>SUM(E58:E60)</f>
        <v>889.3018317</v>
      </c>
      <c r="F57" s="82"/>
      <c r="G57" s="82"/>
      <c r="H57" s="27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ht="14.25" customHeight="1">
      <c r="A58" s="88"/>
      <c r="B58" s="89"/>
      <c r="C58" s="89"/>
      <c r="D58" s="90" t="s">
        <v>62</v>
      </c>
      <c r="E58" s="91">
        <v>265.4632333421821</v>
      </c>
      <c r="F58" s="92"/>
      <c r="G58" s="92"/>
      <c r="H58" s="27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ht="14.25" customHeight="1">
      <c r="A59" s="88"/>
      <c r="B59" s="89"/>
      <c r="C59" s="89"/>
      <c r="D59" s="90" t="s">
        <v>63</v>
      </c>
      <c r="E59" s="91">
        <v>132.73161667109105</v>
      </c>
      <c r="F59" s="92"/>
      <c r="G59" s="92"/>
      <c r="H59" s="27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ht="14.25" customHeight="1">
      <c r="A60" s="88"/>
      <c r="B60" s="89"/>
      <c r="C60" s="89"/>
      <c r="D60" s="90" t="s">
        <v>64</v>
      </c>
      <c r="E60" s="91">
        <v>491.1069816830369</v>
      </c>
      <c r="F60" s="92"/>
      <c r="G60" s="92"/>
      <c r="H60" s="27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ht="14.25" customHeight="1">
      <c r="A61" s="97"/>
      <c r="B61" s="94">
        <v>426.0</v>
      </c>
      <c r="C61" s="98"/>
      <c r="D61" s="95" t="s">
        <v>65</v>
      </c>
      <c r="E61" s="96">
        <f>SUM(E62+E67+E71)</f>
        <v>12012.21131</v>
      </c>
      <c r="F61" s="87"/>
      <c r="G61" s="87"/>
      <c r="H61" s="27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ht="14.25" customHeight="1">
      <c r="A62" s="97"/>
      <c r="B62" s="98"/>
      <c r="C62" s="98">
        <v>4261.0</v>
      </c>
      <c r="D62" s="99" t="s">
        <v>66</v>
      </c>
      <c r="E62" s="100">
        <f>SUM(E63:E66)</f>
        <v>1327.316167</v>
      </c>
      <c r="F62" s="82"/>
      <c r="G62" s="82"/>
      <c r="H62" s="27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ht="14.25" customHeight="1">
      <c r="A63" s="88"/>
      <c r="B63" s="89"/>
      <c r="C63" s="89"/>
      <c r="D63" s="90" t="s">
        <v>67</v>
      </c>
      <c r="E63" s="91">
        <v>1327.3161667109105</v>
      </c>
      <c r="F63" s="92"/>
      <c r="G63" s="92"/>
      <c r="H63" s="27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ht="14.25" customHeight="1">
      <c r="A64" s="88"/>
      <c r="B64" s="89"/>
      <c r="C64" s="89"/>
      <c r="D64" s="90" t="s">
        <v>68</v>
      </c>
      <c r="E64" s="91">
        <v>0.0</v>
      </c>
      <c r="F64" s="92"/>
      <c r="G64" s="92"/>
      <c r="H64" s="27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ht="14.25" customHeight="1">
      <c r="A65" s="88"/>
      <c r="B65" s="89"/>
      <c r="C65" s="89"/>
      <c r="D65" s="90" t="s">
        <v>69</v>
      </c>
      <c r="E65" s="91">
        <v>0.0</v>
      </c>
      <c r="F65" s="92"/>
      <c r="G65" s="92"/>
      <c r="H65" s="27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ht="14.25" customHeight="1">
      <c r="A66" s="88"/>
      <c r="B66" s="89"/>
      <c r="C66" s="89">
        <v>4262.0</v>
      </c>
      <c r="D66" s="90" t="s">
        <v>70</v>
      </c>
      <c r="E66" s="102">
        <v>0.0</v>
      </c>
      <c r="F66" s="92"/>
      <c r="G66" s="92"/>
      <c r="H66" s="27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ht="14.25" customHeight="1">
      <c r="A67" s="97"/>
      <c r="B67" s="98"/>
      <c r="C67" s="98">
        <v>4263.0</v>
      </c>
      <c r="D67" s="99" t="s">
        <v>71</v>
      </c>
      <c r="E67" s="100">
        <f>SUM(E68:E70)</f>
        <v>5375.630475</v>
      </c>
      <c r="F67" s="82"/>
      <c r="G67" s="82"/>
      <c r="H67" s="27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ht="14.25" customHeight="1">
      <c r="A68" s="88"/>
      <c r="B68" s="89"/>
      <c r="C68" s="89"/>
      <c r="D68" s="90" t="s">
        <v>72</v>
      </c>
      <c r="E68" s="91">
        <v>4645.606583488187</v>
      </c>
      <c r="F68" s="92"/>
      <c r="G68" s="92"/>
      <c r="H68" s="27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</row>
    <row r="69" ht="14.25" customHeight="1">
      <c r="A69" s="88"/>
      <c r="B69" s="89"/>
      <c r="C69" s="89"/>
      <c r="D69" s="90" t="s">
        <v>73</v>
      </c>
      <c r="E69" s="91">
        <v>331.8290416777276</v>
      </c>
      <c r="F69" s="92"/>
      <c r="G69" s="92"/>
      <c r="H69" s="27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ht="14.25" customHeight="1">
      <c r="A70" s="88"/>
      <c r="B70" s="89"/>
      <c r="C70" s="89"/>
      <c r="D70" s="90" t="s">
        <v>74</v>
      </c>
      <c r="E70" s="91">
        <v>398.1948500132732</v>
      </c>
      <c r="F70" s="92"/>
      <c r="G70" s="92"/>
      <c r="H70" s="27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ht="14.25" customHeight="1">
      <c r="A71" s="88"/>
      <c r="B71" s="89"/>
      <c r="C71" s="89">
        <v>4264.0</v>
      </c>
      <c r="D71" s="90" t="s">
        <v>75</v>
      </c>
      <c r="E71" s="91">
        <v>5309.264666843642</v>
      </c>
      <c r="F71" s="92"/>
      <c r="G71" s="92"/>
      <c r="H71" s="27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ht="14.25" customHeight="1">
      <c r="A72" s="93"/>
      <c r="B72" s="94">
        <v>429.0</v>
      </c>
      <c r="C72" s="94"/>
      <c r="D72" s="95" t="s">
        <v>76</v>
      </c>
      <c r="E72" s="96">
        <f>SUM(E73+E74)</f>
        <v>6902.044067</v>
      </c>
      <c r="F72" s="87"/>
      <c r="G72" s="87"/>
      <c r="H72" s="27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ht="14.25" customHeight="1">
      <c r="A73" s="88"/>
      <c r="B73" s="89"/>
      <c r="C73" s="89">
        <v>4291.0</v>
      </c>
      <c r="D73" s="90" t="s">
        <v>77</v>
      </c>
      <c r="E73" s="91">
        <v>663.6580833554552</v>
      </c>
      <c r="F73" s="92"/>
      <c r="G73" s="92"/>
      <c r="H73" s="27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ht="14.25" customHeight="1">
      <c r="A74" s="97"/>
      <c r="B74" s="98"/>
      <c r="C74" s="98">
        <v>4292.0</v>
      </c>
      <c r="D74" s="99" t="s">
        <v>78</v>
      </c>
      <c r="E74" s="100">
        <f>SUM(E75:E79)</f>
        <v>6238.385984</v>
      </c>
      <c r="F74" s="82"/>
      <c r="G74" s="82"/>
      <c r="H74" s="27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ht="14.25" customHeight="1">
      <c r="A75" s="88"/>
      <c r="B75" s="89"/>
      <c r="C75" s="89"/>
      <c r="D75" s="90" t="s">
        <v>79</v>
      </c>
      <c r="E75" s="91">
        <v>1990.9742500663658</v>
      </c>
      <c r="F75" s="92"/>
      <c r="G75" s="92"/>
      <c r="H75" s="27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ht="14.25" customHeight="1">
      <c r="A76" s="88"/>
      <c r="B76" s="89"/>
      <c r="C76" s="89"/>
      <c r="D76" s="90" t="s">
        <v>80</v>
      </c>
      <c r="E76" s="91">
        <v>1990.9742500663658</v>
      </c>
      <c r="F76" s="92"/>
      <c r="G76" s="92"/>
      <c r="H76" s="27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ht="14.25" customHeight="1">
      <c r="A77" s="88"/>
      <c r="B77" s="89"/>
      <c r="C77" s="89"/>
      <c r="D77" s="90" t="s">
        <v>81</v>
      </c>
      <c r="E77" s="91">
        <v>1327.3161667109105</v>
      </c>
      <c r="F77" s="92"/>
      <c r="G77" s="92"/>
      <c r="H77" s="27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ht="14.25" customHeight="1">
      <c r="A78" s="88"/>
      <c r="B78" s="89"/>
      <c r="C78" s="89"/>
      <c r="D78" s="90" t="s">
        <v>82</v>
      </c>
      <c r="E78" s="91">
        <v>663.6580833554552</v>
      </c>
      <c r="F78" s="92"/>
      <c r="G78" s="92"/>
      <c r="H78" s="27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ht="14.25" customHeight="1">
      <c r="A79" s="103"/>
      <c r="B79" s="104"/>
      <c r="C79" s="104">
        <v>4294.0</v>
      </c>
      <c r="D79" s="105" t="s">
        <v>83</v>
      </c>
      <c r="E79" s="106">
        <v>265.4632333421821</v>
      </c>
      <c r="F79" s="92"/>
      <c r="G79" s="92"/>
      <c r="H79" s="27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</row>
    <row r="80" ht="14.25" customHeight="1">
      <c r="A80" s="78">
        <v>43.0</v>
      </c>
      <c r="B80" s="107"/>
      <c r="C80" s="107"/>
      <c r="D80" s="80" t="s">
        <v>84</v>
      </c>
      <c r="E80" s="108">
        <v>5972.922750199097</v>
      </c>
      <c r="F80" s="82"/>
      <c r="G80" s="82"/>
      <c r="H80" s="27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</row>
    <row r="81" ht="14.25" customHeight="1">
      <c r="A81" s="109">
        <v>44.0</v>
      </c>
      <c r="B81" s="110"/>
      <c r="C81" s="110"/>
      <c r="D81" s="111" t="s">
        <v>85</v>
      </c>
      <c r="E81" s="112">
        <f>SUM(E82)</f>
        <v>331.8290417</v>
      </c>
      <c r="F81" s="82"/>
      <c r="G81" s="82"/>
      <c r="H81" s="27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ht="14.25" customHeight="1">
      <c r="A82" s="113"/>
      <c r="B82" s="114">
        <v>443.0</v>
      </c>
      <c r="C82" s="114"/>
      <c r="D82" s="115" t="s">
        <v>86</v>
      </c>
      <c r="E82" s="116">
        <f>SUM(E83+E84)</f>
        <v>331.8290417</v>
      </c>
      <c r="F82" s="87"/>
      <c r="G82" s="87"/>
      <c r="H82" s="27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ht="14.25" customHeight="1">
      <c r="A83" s="88"/>
      <c r="B83" s="89"/>
      <c r="C83" s="89">
        <v>4431.0</v>
      </c>
      <c r="D83" s="90" t="s">
        <v>87</v>
      </c>
      <c r="E83" s="117">
        <v>199.0974250066366</v>
      </c>
      <c r="F83" s="92"/>
      <c r="G83" s="92"/>
      <c r="H83" s="27"/>
      <c r="I83" s="118"/>
      <c r="J83" s="118"/>
      <c r="K83" s="118"/>
      <c r="L83" s="118"/>
      <c r="M83" s="118"/>
      <c r="N83" s="118"/>
      <c r="O83" s="118"/>
      <c r="P83" s="118"/>
      <c r="Q83" s="118"/>
      <c r="R83" s="118"/>
      <c r="S83" s="118"/>
    </row>
    <row r="84" ht="14.25" customHeight="1">
      <c r="A84" s="103"/>
      <c r="B84" s="104"/>
      <c r="C84" s="104">
        <v>4434.0</v>
      </c>
      <c r="D84" s="105" t="s">
        <v>88</v>
      </c>
      <c r="E84" s="106">
        <v>132.73161667109105</v>
      </c>
      <c r="F84" s="92"/>
      <c r="G84" s="92"/>
      <c r="H84" s="27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ht="14.25" customHeight="1">
      <c r="A85" s="119">
        <v>45.0</v>
      </c>
      <c r="B85" s="120"/>
      <c r="C85" s="120"/>
      <c r="D85" s="121" t="s">
        <v>89</v>
      </c>
      <c r="E85" s="122">
        <v>0.0</v>
      </c>
      <c r="F85" s="123"/>
      <c r="G85" s="123"/>
      <c r="H85" s="27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ht="14.25" customHeight="1">
      <c r="A86" s="124">
        <v>46.0</v>
      </c>
      <c r="B86" s="125"/>
      <c r="C86" s="125"/>
      <c r="D86" s="126" t="s">
        <v>90</v>
      </c>
      <c r="E86" s="127">
        <v>0.0</v>
      </c>
      <c r="F86" s="123"/>
      <c r="G86" s="123"/>
      <c r="H86" s="27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</row>
    <row r="87" ht="14.25" customHeight="1">
      <c r="A87" s="128" t="s">
        <v>91</v>
      </c>
      <c r="B87" s="129"/>
      <c r="C87" s="129"/>
      <c r="D87" s="130" t="s">
        <v>92</v>
      </c>
      <c r="E87" s="131">
        <f>SUM(E88+E90+E92+E93+E100)</f>
        <v>21237.05867</v>
      </c>
      <c r="F87" s="82"/>
      <c r="G87" s="82"/>
      <c r="H87" s="27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ht="14.25" customHeight="1">
      <c r="A88" s="132"/>
      <c r="B88" s="133" t="s">
        <v>93</v>
      </c>
      <c r="C88" s="114"/>
      <c r="D88" s="134" t="s">
        <v>94</v>
      </c>
      <c r="E88" s="135">
        <f>SUM(E89)</f>
        <v>7963.897</v>
      </c>
      <c r="F88" s="136"/>
      <c r="G88" s="136"/>
      <c r="H88" s="27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</row>
    <row r="89" ht="14.25" customHeight="1">
      <c r="A89" s="137"/>
      <c r="B89" s="138"/>
      <c r="C89" s="139" t="s">
        <v>95</v>
      </c>
      <c r="D89" s="140" t="s">
        <v>96</v>
      </c>
      <c r="E89" s="91">
        <v>7963.897000265463</v>
      </c>
      <c r="F89" s="92"/>
      <c r="G89" s="92"/>
      <c r="H89" s="27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ht="14.25" customHeight="1">
      <c r="A90" s="113"/>
      <c r="B90" s="133" t="s">
        <v>97</v>
      </c>
      <c r="C90" s="133"/>
      <c r="D90" s="115" t="s">
        <v>98</v>
      </c>
      <c r="E90" s="141">
        <f>SUM(E91)</f>
        <v>0</v>
      </c>
      <c r="F90" s="87"/>
      <c r="G90" s="87"/>
      <c r="H90" s="27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</row>
    <row r="91" ht="14.25" customHeight="1">
      <c r="A91" s="142"/>
      <c r="B91" s="143"/>
      <c r="C91" s="144" t="s">
        <v>99</v>
      </c>
      <c r="D91" s="145" t="s">
        <v>100</v>
      </c>
      <c r="E91" s="146"/>
      <c r="F91" s="92"/>
      <c r="G91" s="92"/>
      <c r="H91" s="27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ht="14.25" customHeight="1">
      <c r="A92" s="142"/>
      <c r="B92" s="147" t="s">
        <v>101</v>
      </c>
      <c r="C92" s="144"/>
      <c r="D92" s="95" t="s">
        <v>102</v>
      </c>
      <c r="E92" s="96">
        <v>0.0</v>
      </c>
      <c r="F92" s="87"/>
      <c r="G92" s="87"/>
      <c r="H92" s="27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ht="14.25" customHeight="1">
      <c r="A93" s="93"/>
      <c r="B93" s="147" t="s">
        <v>103</v>
      </c>
      <c r="C93" s="147"/>
      <c r="D93" s="95" t="s">
        <v>104</v>
      </c>
      <c r="E93" s="96">
        <f>SUM(E94+E95+E96)</f>
        <v>6636.580834</v>
      </c>
      <c r="F93" s="87"/>
      <c r="G93" s="87"/>
      <c r="H93" s="27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ht="14.25" customHeight="1">
      <c r="A94" s="88"/>
      <c r="B94" s="89"/>
      <c r="C94" s="148" t="s">
        <v>105</v>
      </c>
      <c r="D94" s="90" t="s">
        <v>106</v>
      </c>
      <c r="E94" s="91">
        <v>530.9264666843642</v>
      </c>
      <c r="F94" s="92"/>
      <c r="G94" s="92"/>
      <c r="H94" s="27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ht="14.25" customHeight="1">
      <c r="A95" s="88"/>
      <c r="B95" s="89"/>
      <c r="C95" s="148" t="s">
        <v>107</v>
      </c>
      <c r="D95" s="90" t="s">
        <v>108</v>
      </c>
      <c r="E95" s="91">
        <v>663.6580833554552</v>
      </c>
      <c r="F95" s="92"/>
      <c r="G95" s="92"/>
      <c r="H95" s="27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ht="14.25" customHeight="1">
      <c r="A96" s="149"/>
      <c r="B96" s="150"/>
      <c r="C96" s="151" t="s">
        <v>109</v>
      </c>
      <c r="D96" s="152" t="s">
        <v>110</v>
      </c>
      <c r="E96" s="153">
        <f>SUM(E97:E99)</f>
        <v>5441.996284</v>
      </c>
      <c r="F96" s="92"/>
      <c r="G96" s="92"/>
      <c r="H96" s="27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</row>
    <row r="97" ht="14.25" customHeight="1">
      <c r="A97" s="88"/>
      <c r="B97" s="89"/>
      <c r="C97" s="148"/>
      <c r="D97" s="90" t="s">
        <v>111</v>
      </c>
      <c r="E97" s="91">
        <v>4645.606583488187</v>
      </c>
      <c r="F97" s="92"/>
      <c r="G97" s="92"/>
      <c r="H97" s="27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ht="14.25" customHeight="1">
      <c r="A98" s="88"/>
      <c r="B98" s="89"/>
      <c r="C98" s="148"/>
      <c r="D98" s="154" t="s">
        <v>112</v>
      </c>
      <c r="E98" s="91">
        <v>796.3897000265464</v>
      </c>
      <c r="F98" s="92"/>
      <c r="G98" s="92"/>
      <c r="H98" s="27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ht="14.25" customHeight="1">
      <c r="A99" s="88"/>
      <c r="B99" s="89"/>
      <c r="C99" s="148" t="s">
        <v>113</v>
      </c>
      <c r="D99" s="154" t="s">
        <v>114</v>
      </c>
      <c r="E99" s="155">
        <v>0.0</v>
      </c>
      <c r="F99" s="65"/>
      <c r="G99" s="65"/>
      <c r="H99" s="27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ht="14.25" customHeight="1">
      <c r="A100" s="93"/>
      <c r="B100" s="94" t="s">
        <v>115</v>
      </c>
      <c r="C100" s="94"/>
      <c r="D100" s="156" t="s">
        <v>116</v>
      </c>
      <c r="E100" s="157">
        <f t="shared" ref="E100:E101" si="2">SUM(E101)</f>
        <v>6636.580834</v>
      </c>
      <c r="F100" s="158"/>
      <c r="G100" s="158"/>
      <c r="H100" s="27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ht="14.25" customHeight="1">
      <c r="A101" s="88"/>
      <c r="B101" s="89"/>
      <c r="C101" s="148" t="s">
        <v>117</v>
      </c>
      <c r="D101" s="154" t="s">
        <v>118</v>
      </c>
      <c r="E101" s="155">
        <f t="shared" si="2"/>
        <v>6636.580834</v>
      </c>
      <c r="F101" s="65"/>
      <c r="G101" s="65"/>
      <c r="H101" s="27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ht="14.25" customHeight="1">
      <c r="A102" s="103"/>
      <c r="B102" s="104"/>
      <c r="C102" s="104"/>
      <c r="D102" s="159" t="s">
        <v>119</v>
      </c>
      <c r="E102" s="160">
        <v>6636.580833554553</v>
      </c>
      <c r="F102" s="65"/>
      <c r="G102" s="65"/>
      <c r="H102" s="27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ht="8.25" customHeight="1">
      <c r="A103" s="161"/>
      <c r="B103" s="162"/>
      <c r="C103" s="163"/>
      <c r="D103" s="164"/>
      <c r="E103" s="165"/>
      <c r="F103" s="26"/>
      <c r="G103" s="26"/>
      <c r="H103" s="27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ht="14.25" customHeight="1">
      <c r="A104" s="2"/>
      <c r="B104" s="2"/>
      <c r="C104" s="2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ht="14.25" customHeight="1">
      <c r="A105" s="3"/>
      <c r="B105" s="166"/>
      <c r="C105" s="2"/>
      <c r="D105" s="167" t="s">
        <v>120</v>
      </c>
      <c r="E105" s="168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ht="14.25" customHeight="1">
      <c r="A106" s="3"/>
      <c r="B106" s="12"/>
      <c r="C106" s="2"/>
      <c r="D106" s="167" t="s">
        <v>121</v>
      </c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ht="14.25" customHeight="1">
      <c r="A107" s="3"/>
      <c r="B107" s="2"/>
      <c r="C107" s="2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ht="14.25" customHeight="1">
      <c r="A108" s="3"/>
      <c r="B108" s="2"/>
      <c r="C108" s="2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ht="14.25" customHeight="1">
      <c r="A109" s="3"/>
      <c r="B109" s="2"/>
      <c r="C109" s="2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ht="14.25" customHeight="1">
      <c r="A110" s="3"/>
      <c r="B110" s="2"/>
      <c r="C110" s="2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ht="14.25" customHeight="1">
      <c r="A111" s="3"/>
      <c r="B111" s="2"/>
      <c r="C111" s="2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ht="14.25" customHeight="1">
      <c r="A112" s="3"/>
      <c r="B112" s="2"/>
      <c r="C112" s="2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ht="14.25" customHeight="1">
      <c r="A113" s="3"/>
      <c r="B113" s="2"/>
      <c r="C113" s="2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ht="14.25" customHeight="1">
      <c r="A114" s="3"/>
      <c r="B114" s="2"/>
      <c r="C114" s="2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ht="14.25" customHeight="1">
      <c r="A115" s="3"/>
      <c r="B115" s="2"/>
      <c r="C115" s="2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ht="14.25" customHeight="1">
      <c r="A116" s="3"/>
      <c r="B116" s="2"/>
      <c r="C116" s="2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ht="14.25" customHeight="1">
      <c r="A117" s="3"/>
      <c r="B117" s="2"/>
      <c r="C117" s="2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ht="14.25" customHeight="1">
      <c r="A118" s="3"/>
      <c r="B118" s="2"/>
      <c r="C118" s="2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ht="14.25" customHeight="1">
      <c r="A119" s="3"/>
      <c r="B119" s="2"/>
      <c r="C119" s="2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ht="14.25" customHeight="1">
      <c r="A120" s="3"/>
      <c r="B120" s="2"/>
      <c r="C120" s="2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ht="14.25" customHeight="1">
      <c r="A121" s="3"/>
      <c r="B121" s="2"/>
      <c r="C121" s="2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ht="14.25" customHeight="1">
      <c r="A122" s="3"/>
      <c r="B122" s="2"/>
      <c r="C122" s="2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ht="14.25" customHeight="1">
      <c r="A123" s="3"/>
      <c r="B123" s="2"/>
      <c r="C123" s="2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ht="14.25" customHeight="1">
      <c r="A124" s="3"/>
      <c r="B124" s="2"/>
      <c r="C124" s="2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ht="14.25" customHeight="1">
      <c r="A125" s="3"/>
      <c r="B125" s="2"/>
      <c r="C125" s="2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ht="14.25" customHeight="1">
      <c r="A126" s="3"/>
      <c r="B126" s="2"/>
      <c r="C126" s="2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ht="14.25" customHeight="1">
      <c r="A127" s="3"/>
      <c r="B127" s="2"/>
      <c r="C127" s="2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ht="14.25" customHeight="1">
      <c r="A128" s="3"/>
      <c r="B128" s="2"/>
      <c r="C128" s="2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ht="14.25" customHeight="1">
      <c r="A129" s="3"/>
      <c r="B129" s="2"/>
      <c r="C129" s="2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ht="14.25" customHeight="1">
      <c r="A130" s="3"/>
      <c r="B130" s="2"/>
      <c r="C130" s="2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ht="14.25" customHeight="1">
      <c r="A131" s="3"/>
      <c r="B131" s="2"/>
      <c r="C131" s="2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ht="14.25" customHeight="1">
      <c r="A132" s="3"/>
      <c r="B132" s="2"/>
      <c r="C132" s="2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ht="14.25" customHeight="1">
      <c r="A133" s="3"/>
      <c r="B133" s="2"/>
      <c r="C133" s="2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ht="14.25" customHeight="1">
      <c r="A134" s="3"/>
      <c r="B134" s="2"/>
      <c r="C134" s="2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ht="14.25" customHeight="1">
      <c r="A135" s="3"/>
      <c r="B135" s="2"/>
      <c r="C135" s="2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ht="14.25" customHeight="1">
      <c r="A136" s="3"/>
      <c r="B136" s="2"/>
      <c r="C136" s="2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ht="14.25" customHeight="1">
      <c r="A137" s="3"/>
      <c r="B137" s="2"/>
      <c r="C137" s="2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ht="14.25" customHeight="1">
      <c r="A138" s="3"/>
      <c r="B138" s="2"/>
      <c r="C138" s="2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ht="14.25" customHeight="1">
      <c r="A139" s="3"/>
      <c r="B139" s="2"/>
      <c r="C139" s="2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ht="14.25" customHeight="1">
      <c r="A140" s="3"/>
      <c r="B140" s="2"/>
      <c r="C140" s="2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ht="14.25" customHeight="1">
      <c r="A141" s="3"/>
      <c r="B141" s="2"/>
      <c r="C141" s="2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ht="14.25" customHeight="1">
      <c r="A142" s="3"/>
      <c r="B142" s="2"/>
      <c r="C142" s="2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ht="14.25" customHeight="1">
      <c r="A143" s="3"/>
      <c r="B143" s="2"/>
      <c r="C143" s="2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ht="14.25" customHeight="1">
      <c r="A144" s="3"/>
      <c r="B144" s="2"/>
      <c r="C144" s="2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ht="14.25" customHeight="1">
      <c r="A145" s="3"/>
      <c r="B145" s="2"/>
      <c r="C145" s="2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ht="14.25" customHeight="1">
      <c r="A146" s="3"/>
      <c r="B146" s="2"/>
      <c r="C146" s="2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ht="14.25" customHeight="1">
      <c r="A147" s="3"/>
      <c r="B147" s="2"/>
      <c r="C147" s="2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ht="14.25" customHeight="1">
      <c r="A148" s="3"/>
      <c r="B148" s="2"/>
      <c r="C148" s="2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ht="14.25" customHeight="1">
      <c r="A149" s="3"/>
      <c r="B149" s="2"/>
      <c r="C149" s="2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ht="14.25" customHeight="1">
      <c r="A150" s="3"/>
      <c r="B150" s="2"/>
      <c r="C150" s="2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ht="14.25" customHeight="1">
      <c r="A151" s="3"/>
      <c r="B151" s="2"/>
      <c r="C151" s="2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ht="14.25" customHeight="1">
      <c r="A152" s="3"/>
      <c r="B152" s="2"/>
      <c r="C152" s="2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ht="14.25" customHeight="1">
      <c r="A153" s="3"/>
      <c r="B153" s="2"/>
      <c r="C153" s="2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ht="14.25" customHeight="1">
      <c r="A154" s="3"/>
      <c r="B154" s="2"/>
      <c r="C154" s="2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ht="14.25" customHeight="1">
      <c r="A155" s="3"/>
      <c r="B155" s="2"/>
      <c r="C155" s="2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ht="14.25" customHeight="1">
      <c r="A156" s="3"/>
      <c r="B156" s="2"/>
      <c r="C156" s="2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ht="14.25" customHeight="1">
      <c r="A157" s="3"/>
      <c r="B157" s="2"/>
      <c r="C157" s="2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ht="14.25" customHeight="1">
      <c r="A158" s="3"/>
      <c r="B158" s="2"/>
      <c r="C158" s="2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ht="14.25" customHeight="1">
      <c r="A159" s="3"/>
      <c r="B159" s="2"/>
      <c r="C159" s="2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ht="14.25" customHeight="1">
      <c r="A160" s="3"/>
      <c r="B160" s="2"/>
      <c r="C160" s="2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ht="14.25" customHeight="1">
      <c r="A161" s="3"/>
      <c r="B161" s="2"/>
      <c r="C161" s="2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ht="14.25" customHeight="1">
      <c r="A162" s="3"/>
      <c r="B162" s="2"/>
      <c r="C162" s="2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</row>
    <row r="163" ht="14.25" customHeight="1">
      <c r="A163" s="3"/>
      <c r="B163" s="2"/>
      <c r="C163" s="2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</row>
    <row r="164" ht="14.25" customHeight="1">
      <c r="A164" s="3"/>
      <c r="B164" s="2"/>
      <c r="C164" s="2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</row>
    <row r="165" ht="14.25" customHeight="1">
      <c r="A165" s="3"/>
      <c r="B165" s="2"/>
      <c r="C165" s="2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</row>
    <row r="166" ht="14.25" customHeight="1">
      <c r="A166" s="3"/>
      <c r="B166" s="2"/>
      <c r="C166" s="2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</row>
    <row r="167" ht="14.25" customHeight="1">
      <c r="A167" s="3"/>
      <c r="B167" s="2"/>
      <c r="C167" s="2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</row>
    <row r="168" ht="14.25" customHeight="1">
      <c r="A168" s="3"/>
      <c r="B168" s="2"/>
      <c r="C168" s="2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</row>
    <row r="169" ht="14.25" customHeight="1">
      <c r="A169" s="3"/>
      <c r="B169" s="2"/>
      <c r="C169" s="2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</row>
    <row r="170" ht="14.25" customHeight="1">
      <c r="A170" s="3"/>
      <c r="B170" s="2"/>
      <c r="C170" s="2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</row>
    <row r="171" ht="14.25" customHeight="1">
      <c r="A171" s="3"/>
      <c r="B171" s="2"/>
      <c r="C171" s="2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</row>
    <row r="172" ht="14.25" customHeight="1">
      <c r="A172" s="3"/>
      <c r="B172" s="2"/>
      <c r="C172" s="2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</row>
    <row r="173" ht="14.25" customHeight="1">
      <c r="A173" s="3"/>
      <c r="B173" s="2"/>
      <c r="C173" s="2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</row>
    <row r="174" ht="14.25" customHeight="1">
      <c r="A174" s="3"/>
      <c r="B174" s="2"/>
      <c r="C174" s="2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</row>
    <row r="175" ht="14.25" customHeight="1">
      <c r="A175" s="3"/>
      <c r="B175" s="2"/>
      <c r="C175" s="2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</row>
    <row r="176" ht="14.25" customHeight="1">
      <c r="A176" s="3"/>
      <c r="B176" s="2"/>
      <c r="C176" s="2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</row>
    <row r="177" ht="14.25" customHeight="1">
      <c r="A177" s="3"/>
      <c r="B177" s="2"/>
      <c r="C177" s="2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</row>
    <row r="178" ht="14.25" customHeight="1">
      <c r="A178" s="3"/>
      <c r="B178" s="2"/>
      <c r="C178" s="2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ht="14.25" customHeight="1">
      <c r="A179" s="3"/>
      <c r="B179" s="2"/>
      <c r="C179" s="2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ht="14.25" customHeight="1">
      <c r="A180" s="3"/>
      <c r="B180" s="2"/>
      <c r="C180" s="2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ht="14.25" customHeight="1">
      <c r="A181" s="3"/>
      <c r="B181" s="2"/>
      <c r="C181" s="2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ht="14.25" customHeight="1">
      <c r="A182" s="3"/>
      <c r="B182" s="2"/>
      <c r="C182" s="2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ht="14.25" customHeight="1">
      <c r="A183" s="3"/>
      <c r="B183" s="2"/>
      <c r="C183" s="2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ht="14.25" customHeight="1">
      <c r="A184" s="3"/>
      <c r="B184" s="2"/>
      <c r="C184" s="2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ht="14.25" customHeight="1">
      <c r="A185" s="3"/>
      <c r="B185" s="2"/>
      <c r="C185" s="2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ht="14.25" customHeight="1">
      <c r="A186" s="3"/>
      <c r="B186" s="2"/>
      <c r="C186" s="2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ht="14.25" customHeight="1">
      <c r="A187" s="3"/>
      <c r="B187" s="2"/>
      <c r="C187" s="2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ht="14.25" customHeight="1">
      <c r="A188" s="3"/>
      <c r="B188" s="2"/>
      <c r="C188" s="2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ht="14.25" customHeight="1">
      <c r="A189" s="3"/>
      <c r="B189" s="2"/>
      <c r="C189" s="2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ht="14.25" customHeight="1">
      <c r="A190" s="3"/>
      <c r="B190" s="2"/>
      <c r="C190" s="2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ht="14.25" customHeight="1">
      <c r="A191" s="3"/>
      <c r="B191" s="2"/>
      <c r="C191" s="2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ht="14.25" customHeight="1">
      <c r="A192" s="3"/>
      <c r="B192" s="2"/>
      <c r="C192" s="2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ht="14.25" customHeight="1">
      <c r="A193" s="3"/>
      <c r="B193" s="2"/>
      <c r="C193" s="2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ht="14.25" customHeight="1">
      <c r="A194" s="3"/>
      <c r="B194" s="2"/>
      <c r="C194" s="2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ht="14.25" customHeight="1">
      <c r="A195" s="3"/>
      <c r="B195" s="2"/>
      <c r="C195" s="2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ht="14.25" customHeight="1">
      <c r="A196" s="3"/>
      <c r="B196" s="2"/>
      <c r="C196" s="2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ht="14.25" customHeight="1">
      <c r="A197" s="3"/>
      <c r="B197" s="2"/>
      <c r="C197" s="2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ht="14.25" customHeight="1">
      <c r="A198" s="3"/>
      <c r="B198" s="2"/>
      <c r="C198" s="2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ht="14.25" customHeight="1">
      <c r="A199" s="3"/>
      <c r="B199" s="2"/>
      <c r="C199" s="2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ht="14.25" customHeight="1">
      <c r="A200" s="3"/>
      <c r="B200" s="2"/>
      <c r="C200" s="2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ht="14.25" customHeight="1">
      <c r="A201" s="3"/>
      <c r="B201" s="2"/>
      <c r="C201" s="2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ht="14.25" customHeight="1">
      <c r="A202" s="3"/>
      <c r="B202" s="2"/>
      <c r="C202" s="2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ht="14.25" customHeight="1">
      <c r="A203" s="3"/>
      <c r="B203" s="2"/>
      <c r="C203" s="2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ht="14.25" customHeight="1">
      <c r="A204" s="3"/>
      <c r="B204" s="2"/>
      <c r="C204" s="2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ht="14.25" customHeight="1">
      <c r="A205" s="3"/>
      <c r="B205" s="2"/>
      <c r="C205" s="2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ht="14.25" customHeight="1">
      <c r="A206" s="3"/>
      <c r="B206" s="2"/>
      <c r="C206" s="2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ht="14.25" customHeight="1">
      <c r="A207" s="3"/>
      <c r="B207" s="2"/>
      <c r="C207" s="2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ht="14.25" customHeight="1">
      <c r="A208" s="3"/>
      <c r="B208" s="2"/>
      <c r="C208" s="2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ht="14.25" customHeight="1">
      <c r="A209" s="3"/>
      <c r="B209" s="2"/>
      <c r="C209" s="2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ht="14.25" customHeight="1">
      <c r="A210" s="3"/>
      <c r="B210" s="2"/>
      <c r="C210" s="2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ht="14.25" customHeight="1">
      <c r="A211" s="3"/>
      <c r="B211" s="2"/>
      <c r="C211" s="2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ht="14.25" customHeight="1">
      <c r="A212" s="3"/>
      <c r="B212" s="2"/>
      <c r="C212" s="2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ht="14.25" customHeight="1">
      <c r="A213" s="3"/>
      <c r="B213" s="2"/>
      <c r="C213" s="2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ht="14.25" customHeight="1">
      <c r="A214" s="3"/>
      <c r="B214" s="2"/>
      <c r="C214" s="2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ht="14.25" customHeight="1">
      <c r="A215" s="3"/>
      <c r="B215" s="2"/>
      <c r="C215" s="2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ht="14.25" customHeight="1">
      <c r="A216" s="3"/>
      <c r="B216" s="2"/>
      <c r="C216" s="2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ht="14.25" customHeight="1">
      <c r="A217" s="3"/>
      <c r="B217" s="2"/>
      <c r="C217" s="2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ht="14.25" customHeight="1">
      <c r="A218" s="3"/>
      <c r="B218" s="2"/>
      <c r="C218" s="2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ht="14.25" customHeight="1">
      <c r="A219" s="3"/>
      <c r="B219" s="2"/>
      <c r="C219" s="2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ht="14.25" customHeight="1">
      <c r="A220" s="3"/>
      <c r="B220" s="2"/>
      <c r="C220" s="2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ht="14.25" customHeight="1">
      <c r="A221" s="3"/>
      <c r="B221" s="2"/>
      <c r="C221" s="2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ht="14.25" customHeight="1">
      <c r="A222" s="3"/>
      <c r="B222" s="2"/>
      <c r="C222" s="2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ht="14.25" customHeight="1">
      <c r="A223" s="3"/>
      <c r="B223" s="2"/>
      <c r="C223" s="2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ht="14.25" customHeight="1">
      <c r="A224" s="3"/>
      <c r="B224" s="2"/>
      <c r="C224" s="2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ht="14.25" customHeight="1">
      <c r="A225" s="3"/>
      <c r="B225" s="2"/>
      <c r="C225" s="2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ht="14.25" customHeight="1">
      <c r="A226" s="3"/>
      <c r="B226" s="2"/>
      <c r="C226" s="2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ht="14.25" customHeight="1">
      <c r="A227" s="3"/>
      <c r="B227" s="2"/>
      <c r="C227" s="2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ht="14.25" customHeight="1">
      <c r="A228" s="3"/>
      <c r="B228" s="2"/>
      <c r="C228" s="2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ht="14.25" customHeight="1">
      <c r="A229" s="3"/>
      <c r="B229" s="2"/>
      <c r="C229" s="2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ht="14.25" customHeight="1">
      <c r="A230" s="3"/>
      <c r="B230" s="2"/>
      <c r="C230" s="2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ht="14.25" customHeight="1">
      <c r="A231" s="3"/>
      <c r="B231" s="2"/>
      <c r="C231" s="2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ht="14.25" customHeight="1">
      <c r="A232" s="3"/>
      <c r="B232" s="2"/>
      <c r="C232" s="2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ht="14.25" customHeight="1">
      <c r="A233" s="3"/>
      <c r="B233" s="2"/>
      <c r="C233" s="2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ht="14.25" customHeight="1">
      <c r="A234" s="3"/>
      <c r="B234" s="2"/>
      <c r="C234" s="2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ht="14.25" customHeight="1">
      <c r="A235" s="3"/>
      <c r="B235" s="2"/>
      <c r="C235" s="2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ht="14.25" customHeight="1">
      <c r="A236" s="3"/>
      <c r="B236" s="2"/>
      <c r="C236" s="2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ht="14.25" customHeight="1">
      <c r="A237" s="3"/>
      <c r="B237" s="2"/>
      <c r="C237" s="2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ht="14.25" customHeight="1">
      <c r="A238" s="3"/>
      <c r="B238" s="2"/>
      <c r="C238" s="2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ht="14.25" customHeight="1">
      <c r="A239" s="3"/>
      <c r="B239" s="2"/>
      <c r="C239" s="2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ht="14.25" customHeight="1">
      <c r="A240" s="3"/>
      <c r="B240" s="2"/>
      <c r="C240" s="2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ht="14.25" customHeight="1">
      <c r="A241" s="3"/>
      <c r="B241" s="2"/>
      <c r="C241" s="2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ht="14.25" customHeight="1">
      <c r="A242" s="3"/>
      <c r="B242" s="2"/>
      <c r="C242" s="2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ht="14.25" customHeight="1">
      <c r="A243" s="3"/>
      <c r="B243" s="2"/>
      <c r="C243" s="2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ht="14.25" customHeight="1">
      <c r="A244" s="3"/>
      <c r="B244" s="2"/>
      <c r="C244" s="2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ht="14.25" customHeight="1">
      <c r="A245" s="3"/>
      <c r="B245" s="2"/>
      <c r="C245" s="2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ht="14.25" customHeight="1">
      <c r="A246" s="3"/>
      <c r="B246" s="2"/>
      <c r="C246" s="2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ht="14.25" customHeight="1">
      <c r="A247" s="3"/>
      <c r="B247" s="2"/>
      <c r="C247" s="2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ht="14.25" customHeight="1">
      <c r="A248" s="3"/>
      <c r="B248" s="2"/>
      <c r="C248" s="2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ht="14.25" customHeight="1">
      <c r="A249" s="3"/>
      <c r="B249" s="2"/>
      <c r="C249" s="2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ht="14.25" customHeight="1">
      <c r="A250" s="3"/>
      <c r="B250" s="2"/>
      <c r="C250" s="2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ht="14.25" customHeight="1">
      <c r="A251" s="3"/>
      <c r="B251" s="2"/>
      <c r="C251" s="2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ht="14.25" customHeight="1">
      <c r="A252" s="3"/>
      <c r="B252" s="2"/>
      <c r="C252" s="2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ht="14.25" customHeight="1">
      <c r="A253" s="3"/>
      <c r="B253" s="2"/>
      <c r="C253" s="2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ht="14.25" customHeight="1">
      <c r="A254" s="3"/>
      <c r="B254" s="2"/>
      <c r="C254" s="2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ht="14.25" customHeight="1">
      <c r="A255" s="3"/>
      <c r="B255" s="2"/>
      <c r="C255" s="2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ht="14.25" customHeight="1">
      <c r="A256" s="3"/>
      <c r="B256" s="2"/>
      <c r="C256" s="2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ht="14.25" customHeight="1">
      <c r="A257" s="3"/>
      <c r="B257" s="2"/>
      <c r="C257" s="2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ht="14.25" customHeight="1">
      <c r="A258" s="3"/>
      <c r="B258" s="2"/>
      <c r="C258" s="2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ht="14.25" customHeight="1">
      <c r="A259" s="3"/>
      <c r="B259" s="2"/>
      <c r="C259" s="2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ht="14.25" customHeight="1">
      <c r="A260" s="3"/>
      <c r="B260" s="2"/>
      <c r="C260" s="2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ht="14.25" customHeight="1">
      <c r="A261" s="3"/>
      <c r="B261" s="2"/>
      <c r="C261" s="2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ht="14.25" customHeight="1">
      <c r="A262" s="3"/>
      <c r="B262" s="2"/>
      <c r="C262" s="2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ht="14.25" customHeight="1">
      <c r="A263" s="3"/>
      <c r="B263" s="2"/>
      <c r="C263" s="2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ht="14.25" customHeight="1">
      <c r="A264" s="3"/>
      <c r="B264" s="2"/>
      <c r="C264" s="2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ht="14.25" customHeight="1">
      <c r="A265" s="3"/>
      <c r="B265" s="2"/>
      <c r="C265" s="2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ht="14.25" customHeight="1">
      <c r="A266" s="3"/>
      <c r="B266" s="2"/>
      <c r="C266" s="2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ht="14.25" customHeight="1">
      <c r="A267" s="3"/>
      <c r="B267" s="2"/>
      <c r="C267" s="2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ht="14.25" customHeight="1">
      <c r="A268" s="3"/>
      <c r="B268" s="2"/>
      <c r="C268" s="2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ht="14.25" customHeight="1">
      <c r="A269" s="3"/>
      <c r="B269" s="2"/>
      <c r="C269" s="2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ht="14.25" customHeight="1">
      <c r="A270" s="3"/>
      <c r="B270" s="2"/>
      <c r="C270" s="2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ht="14.25" customHeight="1">
      <c r="A271" s="3"/>
      <c r="B271" s="2"/>
      <c r="C271" s="2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ht="14.25" customHeight="1">
      <c r="A272" s="3"/>
      <c r="B272" s="2"/>
      <c r="C272" s="2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ht="14.25" customHeight="1">
      <c r="A273" s="3"/>
      <c r="B273" s="2"/>
      <c r="C273" s="2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ht="14.25" customHeight="1">
      <c r="A274" s="3"/>
      <c r="B274" s="2"/>
      <c r="C274" s="2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</row>
    <row r="275" ht="14.25" customHeight="1">
      <c r="A275" s="3"/>
      <c r="B275" s="2"/>
      <c r="C275" s="2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</row>
    <row r="276" ht="14.25" customHeight="1">
      <c r="A276" s="3"/>
      <c r="B276" s="2"/>
      <c r="C276" s="2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</row>
    <row r="277" ht="14.25" customHeight="1">
      <c r="A277" s="3"/>
      <c r="B277" s="2"/>
      <c r="C277" s="2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</row>
    <row r="278" ht="14.25" customHeight="1">
      <c r="A278" s="3"/>
      <c r="B278" s="2"/>
      <c r="C278" s="2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</row>
    <row r="279" ht="14.25" customHeight="1">
      <c r="A279" s="3"/>
      <c r="B279" s="2"/>
      <c r="C279" s="2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</row>
    <row r="280" ht="14.25" customHeight="1">
      <c r="A280" s="3"/>
      <c r="B280" s="2"/>
      <c r="C280" s="2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</row>
    <row r="281" ht="14.25" customHeight="1">
      <c r="A281" s="3"/>
      <c r="B281" s="2"/>
      <c r="C281" s="2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</row>
    <row r="282" ht="14.25" customHeight="1">
      <c r="A282" s="3"/>
      <c r="B282" s="2"/>
      <c r="C282" s="2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</row>
    <row r="283" ht="14.25" customHeight="1">
      <c r="A283" s="3"/>
      <c r="B283" s="2"/>
      <c r="C283" s="2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</row>
    <row r="284" ht="14.25" customHeight="1">
      <c r="A284" s="3"/>
      <c r="B284" s="2"/>
      <c r="C284" s="2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</row>
    <row r="285" ht="14.25" customHeight="1">
      <c r="A285" s="3"/>
      <c r="B285" s="2"/>
      <c r="C285" s="2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</row>
    <row r="286" ht="14.25" customHeight="1">
      <c r="A286" s="3"/>
      <c r="B286" s="2"/>
      <c r="C286" s="2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</row>
    <row r="287" ht="14.25" customHeight="1">
      <c r="A287" s="3"/>
      <c r="B287" s="2"/>
      <c r="C287" s="2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</row>
    <row r="288" ht="14.25" customHeight="1">
      <c r="A288" s="3"/>
      <c r="B288" s="2"/>
      <c r="C288" s="2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</row>
    <row r="289" ht="14.25" customHeight="1">
      <c r="A289" s="3"/>
      <c r="B289" s="2"/>
      <c r="C289" s="2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</row>
    <row r="290" ht="14.25" customHeight="1">
      <c r="A290" s="3"/>
      <c r="B290" s="2"/>
      <c r="C290" s="2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</row>
    <row r="291" ht="14.25" customHeight="1">
      <c r="A291" s="3"/>
      <c r="B291" s="2"/>
      <c r="C291" s="2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</row>
    <row r="292" ht="14.25" customHeight="1">
      <c r="A292" s="3"/>
      <c r="B292" s="2"/>
      <c r="C292" s="2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</row>
    <row r="293" ht="14.25" customHeight="1">
      <c r="A293" s="3"/>
      <c r="B293" s="2"/>
      <c r="C293" s="2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</row>
    <row r="294" ht="14.25" customHeight="1">
      <c r="A294" s="3"/>
      <c r="B294" s="2"/>
      <c r="C294" s="2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</row>
    <row r="295" ht="14.25" customHeight="1">
      <c r="A295" s="3"/>
      <c r="B295" s="2"/>
      <c r="C295" s="2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</row>
    <row r="296" ht="14.25" customHeight="1">
      <c r="A296" s="3"/>
      <c r="B296" s="2"/>
      <c r="C296" s="2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</row>
    <row r="297" ht="14.25" customHeight="1">
      <c r="A297" s="3"/>
      <c r="B297" s="2"/>
      <c r="C297" s="2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</row>
    <row r="298" ht="14.25" customHeight="1">
      <c r="A298" s="3"/>
      <c r="B298" s="2"/>
      <c r="C298" s="2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</row>
    <row r="299" ht="14.25" customHeight="1">
      <c r="A299" s="3"/>
      <c r="B299" s="2"/>
      <c r="C299" s="2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</row>
    <row r="300" ht="14.25" customHeight="1">
      <c r="A300" s="3"/>
      <c r="B300" s="2"/>
      <c r="C300" s="2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</row>
    <row r="301" ht="14.25" customHeight="1">
      <c r="A301" s="3"/>
      <c r="B301" s="2"/>
      <c r="C301" s="2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</row>
    <row r="302" ht="14.25" customHeight="1">
      <c r="A302" s="3"/>
      <c r="B302" s="2"/>
      <c r="C302" s="2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</row>
    <row r="303" ht="14.25" customHeight="1">
      <c r="A303" s="3"/>
      <c r="B303" s="2"/>
      <c r="C303" s="2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</row>
    <row r="304" ht="14.25" customHeight="1">
      <c r="A304" s="3"/>
      <c r="B304" s="2"/>
      <c r="C304" s="2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</row>
    <row r="305" ht="14.25" customHeight="1">
      <c r="A305" s="3"/>
      <c r="B305" s="2"/>
      <c r="C305" s="2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</row>
    <row r="306" ht="14.25" customHeight="1">
      <c r="A306" s="3"/>
      <c r="B306" s="2"/>
      <c r="C306" s="2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6">
    <mergeCell ref="A2:D2"/>
    <mergeCell ref="A3:C3"/>
    <mergeCell ref="A4:A5"/>
    <mergeCell ref="B4:B5"/>
    <mergeCell ref="D4:D5"/>
    <mergeCell ref="E4:E5"/>
    <mergeCell ref="F4:F5"/>
    <mergeCell ref="F34:F35"/>
    <mergeCell ref="G34:G35"/>
    <mergeCell ref="C4:C5"/>
    <mergeCell ref="A33:C33"/>
    <mergeCell ref="A34:A35"/>
    <mergeCell ref="B34:B35"/>
    <mergeCell ref="C34:C35"/>
    <mergeCell ref="D34:D35"/>
    <mergeCell ref="E34:E35"/>
  </mergeCells>
  <printOptions/>
  <pageMargins bottom="0.7480314960629921" footer="0.0" header="0.0" left="0.7086614173228347" right="0.7086614173228347" top="0.7480314960629921"/>
  <pageSetup paperSize="9" orientation="landscape"/>
  <rowBreaks count="1" manualBreakCount="1">
    <brk id="32" man="1"/>
  </rowBreaks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2022-08-29T07:42:48Z</dcterms:created>
  <dc:creator>Atila Vadoci</dc:creator>
</cp:coreProperties>
</file>