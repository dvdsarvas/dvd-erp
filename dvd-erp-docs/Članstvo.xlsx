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tila\Razvoj App\dvd-erp\dvd-erp-docs\"/>
    </mc:Choice>
  </mc:AlternateContent>
  <xr:revisionPtr revIDLastSave="0" documentId="8_{7C798CCE-5274-4161-8E6C-7D10AFAD4CC4}" xr6:coauthVersionLast="47" xr6:coauthVersionMax="47" xr10:uidLastSave="{00000000-0000-0000-0000-000000000000}"/>
  <bookViews>
    <workbookView xWindow="-96" yWindow="-96" windowWidth="23232" windowHeight="13872" xr2:uid="{2B3A5863-A6D1-4C4D-A8B6-A2CB20E01C88}"/>
  </bookViews>
  <sheets>
    <sheet name="NOVO" sheetId="1" r:id="rId1"/>
  </sheets>
  <definedNames>
    <definedName name="Excel_BuiltIn__FilterDatabase" localSheetId="0">NOVO!$A$3:$R$66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6" i="1" l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8" i="1"/>
  <c r="F7" i="1"/>
  <c r="F6" i="1"/>
  <c r="F5" i="1"/>
</calcChain>
</file>

<file path=xl/sharedStrings.xml><?xml version="1.0" encoding="utf-8"?>
<sst xmlns="http://schemas.openxmlformats.org/spreadsheetml/2006/main" count="416" uniqueCount="308">
  <si>
    <t>REDOVNI ČLANOVI</t>
  </si>
  <si>
    <t>RB</t>
  </si>
  <si>
    <t>PREZIME</t>
  </si>
  <si>
    <t>IME</t>
  </si>
  <si>
    <t>DATUM ROĐENJA</t>
  </si>
  <si>
    <t>GODINA ROĐENJA</t>
  </si>
  <si>
    <t>STAROST</t>
  </si>
  <si>
    <t>ADRESA</t>
  </si>
  <si>
    <t>TEL/MOB</t>
  </si>
  <si>
    <t>VPN MOB</t>
  </si>
  <si>
    <t>OIB</t>
  </si>
  <si>
    <t>JMBG</t>
  </si>
  <si>
    <t>IME OCA</t>
  </si>
  <si>
    <t>ŠKOLSKA SPREMA</t>
  </si>
  <si>
    <t>VOZAČKA DOZVOLA</t>
  </si>
  <si>
    <t>VATROGASNI ČIN</t>
  </si>
  <si>
    <t>E-MAIL</t>
  </si>
  <si>
    <t>ČLAN OD</t>
  </si>
  <si>
    <t>BR.
KNJIŽICE</t>
  </si>
  <si>
    <t>1</t>
  </si>
  <si>
    <t>2</t>
  </si>
  <si>
    <t>3</t>
  </si>
  <si>
    <t>32</t>
  </si>
  <si>
    <t>33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</si>
  <si>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</si>
  <si>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</si>
  <si>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</si>
  <si>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</si>
  <si>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</si>
  <si>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</si>
  <si>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</si>
  <si>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</si>
  <si>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</si>
  <si>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</si>
  <si>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</si>
  <si>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Stupac16</t>
  </si>
  <si>
    <t>AHMETI</t>
  </si>
  <si>
    <t>IGOR</t>
  </si>
  <si>
    <t>RIJEČKA 35</t>
  </si>
  <si>
    <t>0919736951</t>
  </si>
  <si>
    <t>099/3927896</t>
  </si>
  <si>
    <t>95856591540</t>
  </si>
  <si>
    <t>OSN.ŠK.</t>
  </si>
  <si>
    <t>VATROGASAC</t>
  </si>
  <si>
    <t>BORNA</t>
  </si>
  <si>
    <t>ANDRAŠEK</t>
  </si>
  <si>
    <t>MAJA</t>
  </si>
  <si>
    <t>LJUDEVITA GAJA 29</t>
  </si>
  <si>
    <t>0977932161</t>
  </si>
  <si>
    <t>2308986305051</t>
  </si>
  <si>
    <t>Nedeljko</t>
  </si>
  <si>
    <t>VSS</t>
  </si>
  <si>
    <t>B</t>
  </si>
  <si>
    <t>ČASNIK</t>
  </si>
  <si>
    <t>majaandrasek@gmail.com</t>
  </si>
  <si>
    <t>2.11.2011.</t>
  </si>
  <si>
    <t>03617</t>
  </si>
  <si>
    <t>BUBALO</t>
  </si>
  <si>
    <t>DOMINIK</t>
  </si>
  <si>
    <t>V.CELESTINA 54</t>
  </si>
  <si>
    <t>BOŽIĆ</t>
  </si>
  <si>
    <t>DRAGICA</t>
  </si>
  <si>
    <t>DRAVSKA 21</t>
  </si>
  <si>
    <t>ĆURKOVIĆ</t>
  </si>
  <si>
    <t>ZDENKA</t>
  </si>
  <si>
    <t>DRAVSKA 74</t>
  </si>
  <si>
    <t>0919026375</t>
  </si>
  <si>
    <t>191441198241</t>
  </si>
  <si>
    <t>VSS?</t>
  </si>
  <si>
    <t>zdenka.curkovic@os.t-com.hr</t>
  </si>
  <si>
    <t>16.7.2011.</t>
  </si>
  <si>
    <t>ČOTI</t>
  </si>
  <si>
    <t>ŽELJKO</t>
  </si>
  <si>
    <t>I. MAŽURANIĆA 14</t>
  </si>
  <si>
    <t>DAVIDOVIĆ</t>
  </si>
  <si>
    <t>SAŠA</t>
  </si>
  <si>
    <t>RIJEČKA 47</t>
  </si>
  <si>
    <t>099/3927890</t>
  </si>
  <si>
    <t>IVANA</t>
  </si>
  <si>
    <t>DEBIĆ</t>
  </si>
  <si>
    <t>DRAŽEN</t>
  </si>
  <si>
    <t>DRAVSKA 7A</t>
  </si>
  <si>
    <t>ĐURIĆ</t>
  </si>
  <si>
    <t>NEVEN</t>
  </si>
  <si>
    <t>RIJEČKA 39</t>
  </si>
  <si>
    <t>GERNHARDT</t>
  </si>
  <si>
    <t>ANITA</t>
  </si>
  <si>
    <t>Nikole Tesle 1</t>
  </si>
  <si>
    <t>GOLIĆ</t>
  </si>
  <si>
    <t>ANDRIJA</t>
  </si>
  <si>
    <t>Dravska 30</t>
  </si>
  <si>
    <t>099/3927891</t>
  </si>
  <si>
    <t>Nikola</t>
  </si>
  <si>
    <t>SSS</t>
  </si>
  <si>
    <t>IVČIĆ</t>
  </si>
  <si>
    <t>DAVOR</t>
  </si>
  <si>
    <t>LJUDEVITA GAJA 37</t>
  </si>
  <si>
    <t>0951999376</t>
  </si>
  <si>
    <t>48217988567</t>
  </si>
  <si>
    <t>3008977300012</t>
  </si>
  <si>
    <t>Alojzije</t>
  </si>
  <si>
    <t>VŠS</t>
  </si>
  <si>
    <t>B,C,D,E</t>
  </si>
  <si>
    <t>VIŠI VATROGASNI ČASNIK</t>
  </si>
  <si>
    <t>davor.ivcic@gmail.com</t>
  </si>
  <si>
    <t>04540</t>
  </si>
  <si>
    <t>GORAN</t>
  </si>
  <si>
    <t>Ljudevit Gaja 37</t>
  </si>
  <si>
    <t>JOŠOVIĆ</t>
  </si>
  <si>
    <t>BORIS</t>
  </si>
  <si>
    <t>HRVATSKIH JUNAKA 41</t>
  </si>
  <si>
    <t>JURKIN</t>
  </si>
  <si>
    <t>IVICA</t>
  </si>
  <si>
    <t>V. CELESTINA 43B</t>
  </si>
  <si>
    <t>588393</t>
  </si>
  <si>
    <t>35521637080</t>
  </si>
  <si>
    <t>0506967300021</t>
  </si>
  <si>
    <t>Fabijan</t>
  </si>
  <si>
    <t>08191</t>
  </si>
  <si>
    <t>SANDRA</t>
  </si>
  <si>
    <t>099/3927895</t>
  </si>
  <si>
    <t>Viktor</t>
  </si>
  <si>
    <t>29.3.2013.</t>
  </si>
  <si>
    <t>08192</t>
  </si>
  <si>
    <t>KORDIĆ</t>
  </si>
  <si>
    <t>ANA MARIJA</t>
  </si>
  <si>
    <t>Kolodvorska 8</t>
  </si>
  <si>
    <t>KORICA</t>
  </si>
  <si>
    <t>MILENKO</t>
  </si>
  <si>
    <t>OSJEČKA 32</t>
  </si>
  <si>
    <t>0919507093</t>
  </si>
  <si>
    <t>70010941382</t>
  </si>
  <si>
    <t>2307991300037</t>
  </si>
  <si>
    <t>Veselinka</t>
  </si>
  <si>
    <t>SSS-STUDENT</t>
  </si>
  <si>
    <t>VATROGASAC 1.KLASE</t>
  </si>
  <si>
    <t>mile91@gmail.com</t>
  </si>
  <si>
    <t>04510</t>
  </si>
  <si>
    <t>KOZAREVIĆ</t>
  </si>
  <si>
    <t>TATJANA</t>
  </si>
  <si>
    <t>Dugog otoka7</t>
  </si>
  <si>
    <t>KRESONJA</t>
  </si>
  <si>
    <t>MARIO</t>
  </si>
  <si>
    <t>LOVRE MATAČIĆA 14</t>
  </si>
  <si>
    <t>0989067820</t>
  </si>
  <si>
    <t>11501921623</t>
  </si>
  <si>
    <t>Vlado</t>
  </si>
  <si>
    <t>kresonjamario@gmail.com</t>
  </si>
  <si>
    <t>08193</t>
  </si>
  <si>
    <t>KRSTIĆ</t>
  </si>
  <si>
    <t>MATEJ</t>
  </si>
  <si>
    <t>M.GUPCA 17, JOSIPOVAC</t>
  </si>
  <si>
    <t>098842682</t>
  </si>
  <si>
    <t>39337011573</t>
  </si>
  <si>
    <t>1302993300039</t>
  </si>
  <si>
    <t>Petar</t>
  </si>
  <si>
    <t>matej0krstic@gmail.com</t>
  </si>
  <si>
    <t>12.4.2014.</t>
  </si>
  <si>
    <t>08194</t>
  </si>
  <si>
    <t>PETAR</t>
  </si>
  <si>
    <t>KRSTIN</t>
  </si>
  <si>
    <t>MARKO</t>
  </si>
  <si>
    <t>LAMBREŠČAK</t>
  </si>
  <si>
    <t>BILJANA</t>
  </si>
  <si>
    <t>DRAVSKA 5</t>
  </si>
  <si>
    <t>0981855417</t>
  </si>
  <si>
    <t>Radenko</t>
  </si>
  <si>
    <t>08197</t>
  </si>
  <si>
    <t>JOSIP</t>
  </si>
  <si>
    <t>0989808342</t>
  </si>
  <si>
    <t>KRISTINA</t>
  </si>
  <si>
    <t>0994003864</t>
  </si>
  <si>
    <t>17902765988</t>
  </si>
  <si>
    <t>06059973050</t>
  </si>
  <si>
    <t>Josip</t>
  </si>
  <si>
    <t>SSS-UČENIK</t>
  </si>
  <si>
    <t>04539</t>
  </si>
  <si>
    <t>Dravska 5</t>
  </si>
  <si>
    <t>LEŠKO</t>
  </si>
  <si>
    <t>MICHAELA</t>
  </si>
  <si>
    <t>LONČARIČ</t>
  </si>
  <si>
    <t>MARTINA</t>
  </si>
  <si>
    <t>Dravska 20 A</t>
  </si>
  <si>
    <t>099/3927894</t>
  </si>
  <si>
    <t>Stjepan</t>
  </si>
  <si>
    <t>1.KLASE</t>
  </si>
  <si>
    <t>MIHALJEVIĆ</t>
  </si>
  <si>
    <t>vjekoslava Celestina 15</t>
  </si>
  <si>
    <t>MILANKOVIĆ</t>
  </si>
  <si>
    <t>MILJATOVIĆ</t>
  </si>
  <si>
    <t>DINO</t>
  </si>
  <si>
    <t>DRAVSKA 17</t>
  </si>
  <si>
    <t>MILORAD</t>
  </si>
  <si>
    <t>Dravska 48</t>
  </si>
  <si>
    <t>TIN</t>
  </si>
  <si>
    <t>SARA</t>
  </si>
  <si>
    <t>OREŠČANIN</t>
  </si>
  <si>
    <t>OSJEČKA 23</t>
  </si>
  <si>
    <t>0913396975</t>
  </si>
  <si>
    <t>69885488522</t>
  </si>
  <si>
    <t>18079923000</t>
  </si>
  <si>
    <t>Borislav</t>
  </si>
  <si>
    <t>domac9264@gmail.com</t>
  </si>
  <si>
    <t>08196</t>
  </si>
  <si>
    <t>PARIPOVIĆ</t>
  </si>
  <si>
    <t>DARKO</t>
  </si>
  <si>
    <t>OSJEČKA 3</t>
  </si>
  <si>
    <t>0914244509</t>
  </si>
  <si>
    <t>56617405475</t>
  </si>
  <si>
    <t>2511991300009</t>
  </si>
  <si>
    <t>Savo</t>
  </si>
  <si>
    <t>04506</t>
  </si>
  <si>
    <t>ZORAN</t>
  </si>
  <si>
    <t>0919422193</t>
  </si>
  <si>
    <t>21432830377</t>
  </si>
  <si>
    <t>0510993300029</t>
  </si>
  <si>
    <t>04864</t>
  </si>
  <si>
    <t>SAVO</t>
  </si>
  <si>
    <t>Osiječka 3</t>
  </si>
  <si>
    <t>PIC</t>
  </si>
  <si>
    <t>DARIO</t>
  </si>
  <si>
    <t>DRAVSKA 5A</t>
  </si>
  <si>
    <t>588005</t>
  </si>
  <si>
    <t>Dravska 5a</t>
  </si>
  <si>
    <t>099/3927893</t>
  </si>
  <si>
    <t>PAVIĆ</t>
  </si>
  <si>
    <t>SANDA</t>
  </si>
  <si>
    <t>RIJEČKA 36</t>
  </si>
  <si>
    <t>TOMISLAV</t>
  </si>
  <si>
    <t>REJO</t>
  </si>
  <si>
    <t>ANTE</t>
  </si>
  <si>
    <t>KOLODVORSKA 54</t>
  </si>
  <si>
    <t>SAMARDŽIĆ</t>
  </si>
  <si>
    <t>RATKO</t>
  </si>
  <si>
    <t>DRAVSKA 14</t>
  </si>
  <si>
    <t>0955859837</t>
  </si>
  <si>
    <t>099/3927892</t>
  </si>
  <si>
    <t>04615902012</t>
  </si>
  <si>
    <t>1701985300064</t>
  </si>
  <si>
    <t>Ratko</t>
  </si>
  <si>
    <t>SUHIĆ</t>
  </si>
  <si>
    <t>LORETA</t>
  </si>
  <si>
    <t>OSJEČKA 48A</t>
  </si>
  <si>
    <t>0955328201</t>
  </si>
  <si>
    <t>65182712148</t>
  </si>
  <si>
    <t>2110993305003</t>
  </si>
  <si>
    <t>Igor</t>
  </si>
  <si>
    <t>loretasuhic93@gmail.com</t>
  </si>
  <si>
    <t>04863</t>
  </si>
  <si>
    <t>TKALČIĆ</t>
  </si>
  <si>
    <t>IVAN</t>
  </si>
  <si>
    <t>TOPIĆ</t>
  </si>
  <si>
    <t>DOMAGOJ</t>
  </si>
  <si>
    <t>KOLODVORSKA 14</t>
  </si>
  <si>
    <t>TRGO</t>
  </si>
  <si>
    <t>MANOJLOVIĆ</t>
  </si>
  <si>
    <t>MIRTA</t>
  </si>
  <si>
    <t xml:space="preserve">TRAMIŠAK </t>
  </si>
  <si>
    <t>ARIJANA</t>
  </si>
  <si>
    <t>UDOVIČIĆ</t>
  </si>
  <si>
    <t>SLAVKO</t>
  </si>
  <si>
    <t>14.08.1961.</t>
  </si>
  <si>
    <t>V. CELESTINA 22</t>
  </si>
  <si>
    <t>588306</t>
  </si>
  <si>
    <t>UGLJEŠIĆ</t>
  </si>
  <si>
    <t>MILAN</t>
  </si>
  <si>
    <t>Osiječka 79</t>
  </si>
  <si>
    <t>BRANKO</t>
  </si>
  <si>
    <t>VADOCI</t>
  </si>
  <si>
    <t>ATILA</t>
  </si>
  <si>
    <t>KOLODVORSKA 58</t>
  </si>
  <si>
    <t>LADISLAV</t>
  </si>
  <si>
    <t>MILENA</t>
  </si>
  <si>
    <t>VIDMAR</t>
  </si>
  <si>
    <t>V.CELESTINA 9</t>
  </si>
  <si>
    <t>0958295475</t>
  </si>
  <si>
    <t>52563979809</t>
  </si>
  <si>
    <t>2804992300018</t>
  </si>
  <si>
    <t>B,C</t>
  </si>
  <si>
    <t>17.8.2012.</t>
  </si>
  <si>
    <t>03614</t>
  </si>
  <si>
    <t>VULETA</t>
  </si>
  <si>
    <t>PERO</t>
  </si>
  <si>
    <t>I. MAŽURANIĆA 6</t>
  </si>
  <si>
    <t>09152969693</t>
  </si>
  <si>
    <t>ŽIVKOVIĆ</t>
  </si>
  <si>
    <t>M.P.MIŠKINE 54</t>
  </si>
  <si>
    <t>588369</t>
  </si>
  <si>
    <t>MIHAEL</t>
  </si>
  <si>
    <t>27185284145</t>
  </si>
  <si>
    <t>2412980300009</t>
  </si>
  <si>
    <t>Evald</t>
  </si>
  <si>
    <t>04516</t>
  </si>
  <si>
    <t xml:space="preserve">GORAN </t>
  </si>
  <si>
    <t>GLUMAC</t>
  </si>
  <si>
    <t xml:space="preserve">Osiječka </t>
  </si>
  <si>
    <t xml:space="preserve">EDI </t>
  </si>
  <si>
    <t>MARTAN</t>
  </si>
  <si>
    <t>Kolodvorska 42 A</t>
  </si>
  <si>
    <t>ČELEDA</t>
  </si>
  <si>
    <t xml:space="preserve">Dravska </t>
  </si>
  <si>
    <t>ŠPOLJARIĆ</t>
  </si>
  <si>
    <t>DORIJAN</t>
  </si>
  <si>
    <t>Dravska 7</t>
  </si>
  <si>
    <t>RUŽIĆ</t>
  </si>
  <si>
    <t>M.P.MIŠKINE 19</t>
  </si>
  <si>
    <t>MARKOVIĆ</t>
  </si>
  <si>
    <t>LUKA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</si>
</sst>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4" x14ac:knownFonts="1">
    <font>
      <sz val="10"/>
      <name val="Arial"/>
      <family val="2"/>
      <charset val="238"/>
    </font>
    <font>
      <b/>
      <sz val="18"/>
      <color indexed="5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1"/>
      <color indexed="8"/>
      <name val="Arial"/>
      <family val="2"/>
      <charset val="238"/>
    </font>
    <font>
      <sz val="11"/>
      <name val="Calibri"/>
      <family val="2"/>
      <charset val="238"/>
    </font>
    <font>
      <sz val="11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name val="Tahoma"/>
      <family val="2"/>
      <charset val="238"/>
    </font>
    <font>
      <u/>
      <sz val="10"/>
      <color indexed="12"/>
      <name val="Arial"/>
      <family val="2"/>
      <charset val="238"/>
    </font>
    <font>
      <u/>
      <sz val="10"/>
      <color indexed="12"/>
      <name val="Arial"/>
      <family val="2"/>
    </font>
    <font>
      <sz val="11"/>
      <color indexed="10"/>
      <name val="Calibri"/>
      <family val="2"/>
      <charset val="238"/>
    </font>
    <font>
      <b/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4"/>
        <bgColor indexed="2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Protection="0">
      <alignment vertical="center"/>
    </xf>
  </cellStyleXfs>
  <cellXfs count="10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" fontId="1" fillId="2" borderId="1" xfId="0" applyNumberFormat="1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2" fillId="2" borderId="3" xfId="0" applyFont="1" applyFill="1" applyBorder="1" applyAlignment="1"/>
    <xf numFmtId="0" fontId="4" fillId="2" borderId="4" xfId="0" applyFont="1" applyFill="1" applyBorder="1" applyAlignment="1"/>
    <xf numFmtId="164" fontId="4" fillId="2" borderId="4" xfId="0" applyNumberFormat="1" applyFont="1" applyFill="1" applyBorder="1" applyAlignment="1">
      <alignment horizontal="left"/>
    </xf>
    <xf numFmtId="1" fontId="4" fillId="2" borderId="4" xfId="0" applyNumberFormat="1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49" fontId="4" fillId="2" borderId="4" xfId="0" applyNumberFormat="1" applyFont="1" applyFill="1" applyBorder="1" applyAlignment="1">
      <alignment horizontal="left"/>
    </xf>
    <xf numFmtId="0" fontId="4" fillId="2" borderId="4" xfId="0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49" fontId="0" fillId="2" borderId="5" xfId="0" applyNumberFormat="1" applyFill="1" applyBorder="1" applyAlignment="1">
      <alignment horizontal="right" vertical="center"/>
    </xf>
    <xf numFmtId="0" fontId="2" fillId="2" borderId="6" xfId="0" applyFont="1" applyFill="1" applyBorder="1" applyAlignment="1"/>
    <xf numFmtId="0" fontId="4" fillId="2" borderId="1" xfId="0" applyFont="1" applyFill="1" applyBorder="1" applyAlignment="1"/>
    <xf numFmtId="164" fontId="4" fillId="2" borderId="1" xfId="0" applyNumberFormat="1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49" fontId="8" fillId="2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left"/>
    </xf>
    <xf numFmtId="0" fontId="0" fillId="2" borderId="1" xfId="0" applyFill="1" applyBorder="1">
      <alignment vertical="center"/>
    </xf>
    <xf numFmtId="164" fontId="0" fillId="2" borderId="1" xfId="0" applyNumberFormat="1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>
      <alignment vertical="center"/>
    </xf>
    <xf numFmtId="0" fontId="0" fillId="2" borderId="2" xfId="0" applyFill="1" applyBorder="1" applyAlignment="1">
      <alignment horizontal="left" vertical="center"/>
    </xf>
    <xf numFmtId="49" fontId="0" fillId="2" borderId="1" xfId="0" applyNumberFormat="1" applyFill="1" applyBorder="1">
      <alignment vertical="center"/>
    </xf>
    <xf numFmtId="0" fontId="4" fillId="2" borderId="1" xfId="0" applyFont="1" applyFill="1" applyBorder="1">
      <alignment vertical="center"/>
    </xf>
    <xf numFmtId="49" fontId="4" fillId="2" borderId="0" xfId="0" applyNumberFormat="1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6" xfId="0" applyNumberFormat="1" applyFont="1" applyFill="1" applyBorder="1" applyAlignment="1">
      <alignment horizontal="left" vertical="center"/>
    </xf>
    <xf numFmtId="49" fontId="4" fillId="2" borderId="7" xfId="0" applyNumberFormat="1" applyFont="1" applyFill="1" applyBorder="1" applyAlignment="1">
      <alignment horizontal="left"/>
    </xf>
    <xf numFmtId="0" fontId="9" fillId="2" borderId="7" xfId="0" applyFont="1" applyFill="1" applyBorder="1" applyAlignment="1">
      <alignment horizontal="left" vertical="center"/>
    </xf>
    <xf numFmtId="49" fontId="4" fillId="2" borderId="8" xfId="0" applyNumberFormat="1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 wrapText="1"/>
    </xf>
    <xf numFmtId="49" fontId="11" fillId="2" borderId="1" xfId="1" applyNumberFormat="1" applyFont="1" applyFill="1" applyBorder="1" applyAlignment="1" applyProtection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wrapText="1"/>
    </xf>
    <xf numFmtId="49" fontId="11" fillId="2" borderId="2" xfId="1" applyNumberFormat="1" applyFont="1" applyFill="1" applyBorder="1" applyAlignment="1" applyProtection="1">
      <alignment horizontal="left"/>
    </xf>
    <xf numFmtId="0" fontId="6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wrapText="1"/>
    </xf>
    <xf numFmtId="1" fontId="4" fillId="2" borderId="1" xfId="0" applyNumberFormat="1" applyFont="1" applyFill="1" applyBorder="1" applyAlignment="1">
      <alignment horizontal="left" wrapText="1"/>
    </xf>
    <xf numFmtId="0" fontId="12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/>
    <xf numFmtId="164" fontId="4" fillId="2" borderId="7" xfId="0" applyNumberFormat="1" applyFont="1" applyFill="1" applyBorder="1" applyAlignment="1">
      <alignment horizontal="left"/>
    </xf>
    <xf numFmtId="1" fontId="4" fillId="2" borderId="7" xfId="0" applyNumberFormat="1" applyFont="1" applyFill="1" applyBorder="1" applyAlignment="1">
      <alignment horizontal="left"/>
    </xf>
    <xf numFmtId="49" fontId="6" fillId="2" borderId="0" xfId="0" applyNumberFormat="1" applyFont="1" applyFill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wrapText="1"/>
    </xf>
    <xf numFmtId="49" fontId="11" fillId="2" borderId="9" xfId="1" applyNumberFormat="1" applyFont="1" applyFill="1" applyBorder="1" applyAlignment="1" applyProtection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49" fontId="0" fillId="2" borderId="9" xfId="0" applyNumberFormat="1" applyFill="1" applyBorder="1" applyAlignment="1">
      <alignment horizontal="right" vertical="center"/>
    </xf>
    <xf numFmtId="0" fontId="2" fillId="2" borderId="10" xfId="0" applyFont="1" applyFill="1" applyBorder="1" applyAlignment="1"/>
    <xf numFmtId="0" fontId="4" fillId="2" borderId="8" xfId="0" applyFont="1" applyFill="1" applyBorder="1" applyAlignment="1"/>
    <xf numFmtId="164" fontId="4" fillId="2" borderId="8" xfId="0" applyNumberFormat="1" applyFont="1" applyFill="1" applyBorder="1" applyAlignment="1">
      <alignment horizontal="left"/>
    </xf>
    <xf numFmtId="1" fontId="4" fillId="2" borderId="8" xfId="0" applyNumberFormat="1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49" fontId="12" fillId="2" borderId="4" xfId="0" applyNumberFormat="1" applyFont="1" applyFill="1" applyBorder="1" applyAlignment="1">
      <alignment horizontal="left"/>
    </xf>
    <xf numFmtId="0" fontId="7" fillId="2" borderId="4" xfId="0" applyFont="1" applyFill="1" applyBorder="1" applyAlignment="1">
      <alignment horizontal="left" vertical="center"/>
    </xf>
    <xf numFmtId="0" fontId="2" fillId="2" borderId="11" xfId="0" applyFont="1" applyFill="1" applyBorder="1" applyAlignment="1"/>
    <xf numFmtId="0" fontId="0" fillId="2" borderId="11" xfId="0" applyFill="1" applyBorder="1">
      <alignment vertical="center"/>
    </xf>
    <xf numFmtId="164" fontId="0" fillId="2" borderId="11" xfId="0" applyNumberFormat="1" applyFill="1" applyBorder="1" applyAlignment="1">
      <alignment horizontal="left" vertical="center"/>
    </xf>
    <xf numFmtId="1" fontId="0" fillId="2" borderId="11" xfId="0" applyNumberFormat="1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49" fontId="4" fillId="2" borderId="10" xfId="0" applyNumberFormat="1" applyFont="1" applyFill="1" applyBorder="1" applyAlignment="1">
      <alignment horizontal="left"/>
    </xf>
    <xf numFmtId="0" fontId="0" fillId="2" borderId="0" xfId="0" applyFill="1">
      <alignment vertical="center"/>
    </xf>
    <xf numFmtId="0" fontId="4" fillId="2" borderId="12" xfId="0" applyFont="1" applyFill="1" applyBorder="1" applyAlignment="1"/>
    <xf numFmtId="164" fontId="4" fillId="2" borderId="12" xfId="0" applyNumberFormat="1" applyFont="1" applyFill="1" applyBorder="1" applyAlignment="1">
      <alignment horizontal="left"/>
    </xf>
    <xf numFmtId="1" fontId="4" fillId="2" borderId="12" xfId="0" applyNumberFormat="1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 wrapText="1"/>
    </xf>
    <xf numFmtId="49" fontId="4" fillId="2" borderId="7" xfId="0" applyNumberFormat="1" applyFont="1" applyFill="1" applyBorder="1" applyAlignment="1">
      <alignment horizontal="left" vertical="center"/>
    </xf>
    <xf numFmtId="0" fontId="2" fillId="0" borderId="13" xfId="0" applyFont="1" applyBorder="1" applyAlignment="1"/>
    <xf numFmtId="0" fontId="4" fillId="0" borderId="11" xfId="0" applyFont="1" applyBorder="1" applyAlignment="1"/>
    <xf numFmtId="0" fontId="0" fillId="0" borderId="11" xfId="0" applyBorder="1">
      <alignment vertical="center"/>
    </xf>
    <xf numFmtId="0" fontId="13" fillId="0" borderId="13" xfId="0" applyFont="1" applyBorder="1">
      <alignment vertical="center"/>
    </xf>
    <xf numFmtId="164" fontId="0" fillId="0" borderId="11" xfId="0" applyNumberFormat="1" applyBorder="1" applyAlignment="1">
      <alignment horizontal="left" vertical="center"/>
    </xf>
    <xf numFmtId="1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3" fillId="0" borderId="0" xfId="0" applyFont="1">
      <alignment vertical="center"/>
    </xf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iperveza" xfId="1" builtinId="8"/>
    <cellStyle name="Normalno" xfId="0" builtinId="0"/>
  </cellStyles>
  <dxfs count="6">
    <dxf>
      <numFmt numFmtId="1" formatCode="0"/>
    </dxf>
    <dxf>
      <numFmt numFmtId="1" formatCode="0"/>
    </dxf>
    <dxf>
      <numFmt numFmtId="164" formatCode="[$-F800]dddd\,\ mmmm\ d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solid">
          <fgColor indexed="26"/>
          <bgColor indexed="9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</border>
    </dxf>
    <dxf>
      <border outline="0">
        <bottom style="thin">
          <color indexed="8"/>
        </bottom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6149FF-7A88-475D-8F31-C73B1D727EF2}" name="Tablica1" displayName="Tablica1" ref="A4:R66" totalsRowShown="0" headerRowBorderDxfId="4" tableBorderDxfId="5">
  <autoFilter ref="A4:R66" xr:uid="{2B078014-E8D4-4072-953B-A4CD3C299A03}"/>
  <tableColumns count="18">
    <tableColumn id="1" xr3:uid="{45F6D2B7-5B3D-4E3D-9263-699B99E849EF}" name="RB" dataDxfId="3"/>
    <tableColumn id="2" xr3:uid="{4FED2E3F-6DEE-4B91-ACDB-DCD8A652A108}" name="1"/>
    <tableColumn id="3" xr3:uid="{6E85CA8C-BD49-484C-BAC0-713DBEEB064C}" name="2"/>
    <tableColumn id="4" xr3:uid="{7AD49703-DE4B-4BA0-980C-7D1644988CE0}" name="3" dataDxfId="2"/>
    <tableColumn id="17" xr3:uid="{6DCF833D-032F-4D18-BE39-7F5FFECC380A}" name="32" dataDxfId="1"/>
    <tableColumn id="18" xr3:uid="{DF21C98A-9FC9-4EEA-9CCC-3317B8CCFF85}" name="33" dataDxfId="0">
      <calculatedColumnFormula>$G$2-E5</calculatedColumnFormula>
    </tableColumn>
    <tableColumn id="5" xr3:uid="{58460E29-5891-49DC-BBA8-27E7A52F4EC7}" name="4"/>
    <tableColumn id="6" xr3:uid="{DB6963CC-BF3F-4DAF-BAAF-8B30E94AAB60}" name="5"/>
    <tableColumn id="7" xr3:uid="{A31E7651-EFBB-440A-8613-08B470E727E5}" name="6"/>
    <tableColumn id="8" xr3:uid="{CEB4E1D2-3144-43FE-8563-CF86FFE25A03}" name="7"/>
    <tableColumn id="9" xr3:uid="{4F838E07-5212-4878-8050-3D70C7305AE0}" name="8"/>
    <tableColumn id="10" xr3:uid="{F904F9EE-DD5A-46C3-910E-746FF72431FC}" name="9"/>
    <tableColumn id="11" xr3:uid="{B072E735-F79B-4B57-ACFB-8F94153D40AB}" name="10"/>
    <tableColumn id="12" xr3:uid="{EB486612-87D3-42DA-B741-16CED9AD02D3}" name="11"/>
    <tableColumn id="13" xr3:uid="{1392B45B-C132-4647-9BF2-63AB387FD79F}" name="12"/>
    <tableColumn id="14" xr3:uid="{C407076D-58F6-46C2-8372-E8782825EE76}" name="13"/>
    <tableColumn id="15" xr3:uid="{AD4BD70D-1395-4D07-A42F-68F408E5A2C0}" name="14"/>
    <tableColumn id="16" xr3:uid="{B8E8BD87-C2B9-43E7-83E7-D73E48EE8785}" name="Stupac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omac9264@gmail.com" TargetMode="External"/><Relationship Id="rId2" Type="http://schemas.openxmlformats.org/officeDocument/2006/relationships/hyperlink" Target="mailto:matej0krstic@gmail.com" TargetMode="External"/><Relationship Id="rId1" Type="http://schemas.openxmlformats.org/officeDocument/2006/relationships/hyperlink" Target="mailto:mile91@gmail.com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oretasuhic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13AD-779F-47A5-9524-B0E7C2B657BB}">
  <dimension ref="A2:R97"/>
  <sheetViews>
    <sheetView tabSelected="1" zoomScaleNormal="100" workbookViewId="0">
      <pane ySplit="3" topLeftCell="A25" activePane="bottomLeft" state="frozen"/>
      <selection pane="bottomLeft" activeCell="C70" sqref="C70"/>
    </sheetView>
  </sheetViews>
  <sheetFormatPr defaultRowHeight="12.3" x14ac:dyDescent="0.4"/>
  <cols>
    <col min="1" max="1" width="5.5546875" style="100" customWidth="1"/>
    <col min="2" max="2" width="12.71875" customWidth="1"/>
    <col min="3" max="3" width="12.1640625" customWidth="1"/>
    <col min="4" max="4" width="17" style="101" hidden="1" customWidth="1"/>
    <col min="5" max="5" width="9.5546875" style="102" hidden="1" customWidth="1"/>
    <col min="6" max="6" width="8.5546875" style="102" hidden="1" customWidth="1"/>
    <col min="7" max="7" width="22.71875" style="103" customWidth="1"/>
    <col min="8" max="8" width="11.83203125" style="103" customWidth="1"/>
    <col min="9" max="9" width="12.27734375" style="103" customWidth="1"/>
    <col min="10" max="10" width="15.27734375" style="103" customWidth="1"/>
    <col min="11" max="11" width="18" style="103" customWidth="1"/>
    <col min="12" max="12" width="11" style="103" customWidth="1"/>
    <col min="13" max="13" width="13" style="103" customWidth="1"/>
    <col min="14" max="14" width="11" style="103" customWidth="1"/>
    <col min="15" max="15" width="22.27734375" style="103" customWidth="1"/>
    <col min="16" max="16" width="28.71875" style="103" customWidth="1"/>
    <col min="17" max="17" width="18.27734375" style="103" customWidth="1"/>
    <col min="18" max="18" width="11.44140625" customWidth="1"/>
    <col min="257" max="257" width="5.5546875" customWidth="1"/>
    <col min="258" max="258" width="12.71875" customWidth="1"/>
    <col min="259" max="259" width="12.1640625" customWidth="1"/>
    <col min="260" max="262" width="0" hidden="1" customWidth="1"/>
    <col min="263" max="263" width="22.71875" customWidth="1"/>
    <col min="264" max="264" width="11.83203125" customWidth="1"/>
    <col min="265" max="265" width="12.27734375" customWidth="1"/>
    <col min="266" max="266" width="15.27734375" customWidth="1"/>
    <col min="267" max="267" width="18" customWidth="1"/>
    <col min="268" max="268" width="11" customWidth="1"/>
    <col min="269" max="269" width="13" customWidth="1"/>
    <col min="270" max="270" width="11" customWidth="1"/>
    <col min="271" max="271" width="22.27734375" customWidth="1"/>
    <col min="272" max="272" width="28.71875" customWidth="1"/>
    <col min="273" max="273" width="18.27734375" customWidth="1"/>
    <col min="274" max="274" width="11.44140625" customWidth="1"/>
    <col min="513" max="513" width="5.5546875" customWidth="1"/>
    <col min="514" max="514" width="12.71875" customWidth="1"/>
    <col min="515" max="515" width="12.1640625" customWidth="1"/>
    <col min="516" max="518" width="0" hidden="1" customWidth="1"/>
    <col min="519" max="519" width="22.71875" customWidth="1"/>
    <col min="520" max="520" width="11.83203125" customWidth="1"/>
    <col min="521" max="521" width="12.27734375" customWidth="1"/>
    <col min="522" max="522" width="15.27734375" customWidth="1"/>
    <col min="523" max="523" width="18" customWidth="1"/>
    <col min="524" max="524" width="11" customWidth="1"/>
    <col min="525" max="525" width="13" customWidth="1"/>
    <col min="526" max="526" width="11" customWidth="1"/>
    <col min="527" max="527" width="22.27734375" customWidth="1"/>
    <col min="528" max="528" width="28.71875" customWidth="1"/>
    <col min="529" max="529" width="18.27734375" customWidth="1"/>
    <col min="530" max="530" width="11.44140625" customWidth="1"/>
    <col min="769" max="769" width="5.5546875" customWidth="1"/>
    <col min="770" max="770" width="12.71875" customWidth="1"/>
    <col min="771" max="771" width="12.1640625" customWidth="1"/>
    <col min="772" max="774" width="0" hidden="1" customWidth="1"/>
    <col min="775" max="775" width="22.71875" customWidth="1"/>
    <col min="776" max="776" width="11.83203125" customWidth="1"/>
    <col min="777" max="777" width="12.27734375" customWidth="1"/>
    <col min="778" max="778" width="15.27734375" customWidth="1"/>
    <col min="779" max="779" width="18" customWidth="1"/>
    <col min="780" max="780" width="11" customWidth="1"/>
    <col min="781" max="781" width="13" customWidth="1"/>
    <col min="782" max="782" width="11" customWidth="1"/>
    <col min="783" max="783" width="22.27734375" customWidth="1"/>
    <col min="784" max="784" width="28.71875" customWidth="1"/>
    <col min="785" max="785" width="18.27734375" customWidth="1"/>
    <col min="786" max="786" width="11.44140625" customWidth="1"/>
    <col min="1025" max="1025" width="5.5546875" customWidth="1"/>
    <col min="1026" max="1026" width="12.71875" customWidth="1"/>
    <col min="1027" max="1027" width="12.1640625" customWidth="1"/>
    <col min="1028" max="1030" width="0" hidden="1" customWidth="1"/>
    <col min="1031" max="1031" width="22.71875" customWidth="1"/>
    <col min="1032" max="1032" width="11.83203125" customWidth="1"/>
    <col min="1033" max="1033" width="12.27734375" customWidth="1"/>
    <col min="1034" max="1034" width="15.27734375" customWidth="1"/>
    <col min="1035" max="1035" width="18" customWidth="1"/>
    <col min="1036" max="1036" width="11" customWidth="1"/>
    <col min="1037" max="1037" width="13" customWidth="1"/>
    <col min="1038" max="1038" width="11" customWidth="1"/>
    <col min="1039" max="1039" width="22.27734375" customWidth="1"/>
    <col min="1040" max="1040" width="28.71875" customWidth="1"/>
    <col min="1041" max="1041" width="18.27734375" customWidth="1"/>
    <col min="1042" max="1042" width="11.44140625" customWidth="1"/>
    <col min="1281" max="1281" width="5.5546875" customWidth="1"/>
    <col min="1282" max="1282" width="12.71875" customWidth="1"/>
    <col min="1283" max="1283" width="12.1640625" customWidth="1"/>
    <col min="1284" max="1286" width="0" hidden="1" customWidth="1"/>
    <col min="1287" max="1287" width="22.71875" customWidth="1"/>
    <col min="1288" max="1288" width="11.83203125" customWidth="1"/>
    <col min="1289" max="1289" width="12.27734375" customWidth="1"/>
    <col min="1290" max="1290" width="15.27734375" customWidth="1"/>
    <col min="1291" max="1291" width="18" customWidth="1"/>
    <col min="1292" max="1292" width="11" customWidth="1"/>
    <col min="1293" max="1293" width="13" customWidth="1"/>
    <col min="1294" max="1294" width="11" customWidth="1"/>
    <col min="1295" max="1295" width="22.27734375" customWidth="1"/>
    <col min="1296" max="1296" width="28.71875" customWidth="1"/>
    <col min="1297" max="1297" width="18.27734375" customWidth="1"/>
    <col min="1298" max="1298" width="11.44140625" customWidth="1"/>
    <col min="1537" max="1537" width="5.5546875" customWidth="1"/>
    <col min="1538" max="1538" width="12.71875" customWidth="1"/>
    <col min="1539" max="1539" width="12.1640625" customWidth="1"/>
    <col min="1540" max="1542" width="0" hidden="1" customWidth="1"/>
    <col min="1543" max="1543" width="22.71875" customWidth="1"/>
    <col min="1544" max="1544" width="11.83203125" customWidth="1"/>
    <col min="1545" max="1545" width="12.27734375" customWidth="1"/>
    <col min="1546" max="1546" width="15.27734375" customWidth="1"/>
    <col min="1547" max="1547" width="18" customWidth="1"/>
    <col min="1548" max="1548" width="11" customWidth="1"/>
    <col min="1549" max="1549" width="13" customWidth="1"/>
    <col min="1550" max="1550" width="11" customWidth="1"/>
    <col min="1551" max="1551" width="22.27734375" customWidth="1"/>
    <col min="1552" max="1552" width="28.71875" customWidth="1"/>
    <col min="1553" max="1553" width="18.27734375" customWidth="1"/>
    <col min="1554" max="1554" width="11.44140625" customWidth="1"/>
    <col min="1793" max="1793" width="5.5546875" customWidth="1"/>
    <col min="1794" max="1794" width="12.71875" customWidth="1"/>
    <col min="1795" max="1795" width="12.1640625" customWidth="1"/>
    <col min="1796" max="1798" width="0" hidden="1" customWidth="1"/>
    <col min="1799" max="1799" width="22.71875" customWidth="1"/>
    <col min="1800" max="1800" width="11.83203125" customWidth="1"/>
    <col min="1801" max="1801" width="12.27734375" customWidth="1"/>
    <col min="1802" max="1802" width="15.27734375" customWidth="1"/>
    <col min="1803" max="1803" width="18" customWidth="1"/>
    <col min="1804" max="1804" width="11" customWidth="1"/>
    <col min="1805" max="1805" width="13" customWidth="1"/>
    <col min="1806" max="1806" width="11" customWidth="1"/>
    <col min="1807" max="1807" width="22.27734375" customWidth="1"/>
    <col min="1808" max="1808" width="28.71875" customWidth="1"/>
    <col min="1809" max="1809" width="18.27734375" customWidth="1"/>
    <col min="1810" max="1810" width="11.44140625" customWidth="1"/>
    <col min="2049" max="2049" width="5.5546875" customWidth="1"/>
    <col min="2050" max="2050" width="12.71875" customWidth="1"/>
    <col min="2051" max="2051" width="12.1640625" customWidth="1"/>
    <col min="2052" max="2054" width="0" hidden="1" customWidth="1"/>
    <col min="2055" max="2055" width="22.71875" customWidth="1"/>
    <col min="2056" max="2056" width="11.83203125" customWidth="1"/>
    <col min="2057" max="2057" width="12.27734375" customWidth="1"/>
    <col min="2058" max="2058" width="15.27734375" customWidth="1"/>
    <col min="2059" max="2059" width="18" customWidth="1"/>
    <col min="2060" max="2060" width="11" customWidth="1"/>
    <col min="2061" max="2061" width="13" customWidth="1"/>
    <col min="2062" max="2062" width="11" customWidth="1"/>
    <col min="2063" max="2063" width="22.27734375" customWidth="1"/>
    <col min="2064" max="2064" width="28.71875" customWidth="1"/>
    <col min="2065" max="2065" width="18.27734375" customWidth="1"/>
    <col min="2066" max="2066" width="11.44140625" customWidth="1"/>
    <col min="2305" max="2305" width="5.5546875" customWidth="1"/>
    <col min="2306" max="2306" width="12.71875" customWidth="1"/>
    <col min="2307" max="2307" width="12.1640625" customWidth="1"/>
    <col min="2308" max="2310" width="0" hidden="1" customWidth="1"/>
    <col min="2311" max="2311" width="22.71875" customWidth="1"/>
    <col min="2312" max="2312" width="11.83203125" customWidth="1"/>
    <col min="2313" max="2313" width="12.27734375" customWidth="1"/>
    <col min="2314" max="2314" width="15.27734375" customWidth="1"/>
    <col min="2315" max="2315" width="18" customWidth="1"/>
    <col min="2316" max="2316" width="11" customWidth="1"/>
    <col min="2317" max="2317" width="13" customWidth="1"/>
    <col min="2318" max="2318" width="11" customWidth="1"/>
    <col min="2319" max="2319" width="22.27734375" customWidth="1"/>
    <col min="2320" max="2320" width="28.71875" customWidth="1"/>
    <col min="2321" max="2321" width="18.27734375" customWidth="1"/>
    <col min="2322" max="2322" width="11.44140625" customWidth="1"/>
    <col min="2561" max="2561" width="5.5546875" customWidth="1"/>
    <col min="2562" max="2562" width="12.71875" customWidth="1"/>
    <col min="2563" max="2563" width="12.1640625" customWidth="1"/>
    <col min="2564" max="2566" width="0" hidden="1" customWidth="1"/>
    <col min="2567" max="2567" width="22.71875" customWidth="1"/>
    <col min="2568" max="2568" width="11.83203125" customWidth="1"/>
    <col min="2569" max="2569" width="12.27734375" customWidth="1"/>
    <col min="2570" max="2570" width="15.27734375" customWidth="1"/>
    <col min="2571" max="2571" width="18" customWidth="1"/>
    <col min="2572" max="2572" width="11" customWidth="1"/>
    <col min="2573" max="2573" width="13" customWidth="1"/>
    <col min="2574" max="2574" width="11" customWidth="1"/>
    <col min="2575" max="2575" width="22.27734375" customWidth="1"/>
    <col min="2576" max="2576" width="28.71875" customWidth="1"/>
    <col min="2577" max="2577" width="18.27734375" customWidth="1"/>
    <col min="2578" max="2578" width="11.44140625" customWidth="1"/>
    <col min="2817" max="2817" width="5.5546875" customWidth="1"/>
    <col min="2818" max="2818" width="12.71875" customWidth="1"/>
    <col min="2819" max="2819" width="12.1640625" customWidth="1"/>
    <col min="2820" max="2822" width="0" hidden="1" customWidth="1"/>
    <col min="2823" max="2823" width="22.71875" customWidth="1"/>
    <col min="2824" max="2824" width="11.83203125" customWidth="1"/>
    <col min="2825" max="2825" width="12.27734375" customWidth="1"/>
    <col min="2826" max="2826" width="15.27734375" customWidth="1"/>
    <col min="2827" max="2827" width="18" customWidth="1"/>
    <col min="2828" max="2828" width="11" customWidth="1"/>
    <col min="2829" max="2829" width="13" customWidth="1"/>
    <col min="2830" max="2830" width="11" customWidth="1"/>
    <col min="2831" max="2831" width="22.27734375" customWidth="1"/>
    <col min="2832" max="2832" width="28.71875" customWidth="1"/>
    <col min="2833" max="2833" width="18.27734375" customWidth="1"/>
    <col min="2834" max="2834" width="11.44140625" customWidth="1"/>
    <col min="3073" max="3073" width="5.5546875" customWidth="1"/>
    <col min="3074" max="3074" width="12.71875" customWidth="1"/>
    <col min="3075" max="3075" width="12.1640625" customWidth="1"/>
    <col min="3076" max="3078" width="0" hidden="1" customWidth="1"/>
    <col min="3079" max="3079" width="22.71875" customWidth="1"/>
    <col min="3080" max="3080" width="11.83203125" customWidth="1"/>
    <col min="3081" max="3081" width="12.27734375" customWidth="1"/>
    <col min="3082" max="3082" width="15.27734375" customWidth="1"/>
    <col min="3083" max="3083" width="18" customWidth="1"/>
    <col min="3084" max="3084" width="11" customWidth="1"/>
    <col min="3085" max="3085" width="13" customWidth="1"/>
    <col min="3086" max="3086" width="11" customWidth="1"/>
    <col min="3087" max="3087" width="22.27734375" customWidth="1"/>
    <col min="3088" max="3088" width="28.71875" customWidth="1"/>
    <col min="3089" max="3089" width="18.27734375" customWidth="1"/>
    <col min="3090" max="3090" width="11.44140625" customWidth="1"/>
    <col min="3329" max="3329" width="5.5546875" customWidth="1"/>
    <col min="3330" max="3330" width="12.71875" customWidth="1"/>
    <col min="3331" max="3331" width="12.1640625" customWidth="1"/>
    <col min="3332" max="3334" width="0" hidden="1" customWidth="1"/>
    <col min="3335" max="3335" width="22.71875" customWidth="1"/>
    <col min="3336" max="3336" width="11.83203125" customWidth="1"/>
    <col min="3337" max="3337" width="12.27734375" customWidth="1"/>
    <col min="3338" max="3338" width="15.27734375" customWidth="1"/>
    <col min="3339" max="3339" width="18" customWidth="1"/>
    <col min="3340" max="3340" width="11" customWidth="1"/>
    <col min="3341" max="3341" width="13" customWidth="1"/>
    <col min="3342" max="3342" width="11" customWidth="1"/>
    <col min="3343" max="3343" width="22.27734375" customWidth="1"/>
    <col min="3344" max="3344" width="28.71875" customWidth="1"/>
    <col min="3345" max="3345" width="18.27734375" customWidth="1"/>
    <col min="3346" max="3346" width="11.44140625" customWidth="1"/>
    <col min="3585" max="3585" width="5.5546875" customWidth="1"/>
    <col min="3586" max="3586" width="12.71875" customWidth="1"/>
    <col min="3587" max="3587" width="12.1640625" customWidth="1"/>
    <col min="3588" max="3590" width="0" hidden="1" customWidth="1"/>
    <col min="3591" max="3591" width="22.71875" customWidth="1"/>
    <col min="3592" max="3592" width="11.83203125" customWidth="1"/>
    <col min="3593" max="3593" width="12.27734375" customWidth="1"/>
    <col min="3594" max="3594" width="15.27734375" customWidth="1"/>
    <col min="3595" max="3595" width="18" customWidth="1"/>
    <col min="3596" max="3596" width="11" customWidth="1"/>
    <col min="3597" max="3597" width="13" customWidth="1"/>
    <col min="3598" max="3598" width="11" customWidth="1"/>
    <col min="3599" max="3599" width="22.27734375" customWidth="1"/>
    <col min="3600" max="3600" width="28.71875" customWidth="1"/>
    <col min="3601" max="3601" width="18.27734375" customWidth="1"/>
    <col min="3602" max="3602" width="11.44140625" customWidth="1"/>
    <col min="3841" max="3841" width="5.5546875" customWidth="1"/>
    <col min="3842" max="3842" width="12.71875" customWidth="1"/>
    <col min="3843" max="3843" width="12.1640625" customWidth="1"/>
    <col min="3844" max="3846" width="0" hidden="1" customWidth="1"/>
    <col min="3847" max="3847" width="22.71875" customWidth="1"/>
    <col min="3848" max="3848" width="11.83203125" customWidth="1"/>
    <col min="3849" max="3849" width="12.27734375" customWidth="1"/>
    <col min="3850" max="3850" width="15.27734375" customWidth="1"/>
    <col min="3851" max="3851" width="18" customWidth="1"/>
    <col min="3852" max="3852" width="11" customWidth="1"/>
    <col min="3853" max="3853" width="13" customWidth="1"/>
    <col min="3854" max="3854" width="11" customWidth="1"/>
    <col min="3855" max="3855" width="22.27734375" customWidth="1"/>
    <col min="3856" max="3856" width="28.71875" customWidth="1"/>
    <col min="3857" max="3857" width="18.27734375" customWidth="1"/>
    <col min="3858" max="3858" width="11.44140625" customWidth="1"/>
    <col min="4097" max="4097" width="5.5546875" customWidth="1"/>
    <col min="4098" max="4098" width="12.71875" customWidth="1"/>
    <col min="4099" max="4099" width="12.1640625" customWidth="1"/>
    <col min="4100" max="4102" width="0" hidden="1" customWidth="1"/>
    <col min="4103" max="4103" width="22.71875" customWidth="1"/>
    <col min="4104" max="4104" width="11.83203125" customWidth="1"/>
    <col min="4105" max="4105" width="12.27734375" customWidth="1"/>
    <col min="4106" max="4106" width="15.27734375" customWidth="1"/>
    <col min="4107" max="4107" width="18" customWidth="1"/>
    <col min="4108" max="4108" width="11" customWidth="1"/>
    <col min="4109" max="4109" width="13" customWidth="1"/>
    <col min="4110" max="4110" width="11" customWidth="1"/>
    <col min="4111" max="4111" width="22.27734375" customWidth="1"/>
    <col min="4112" max="4112" width="28.71875" customWidth="1"/>
    <col min="4113" max="4113" width="18.27734375" customWidth="1"/>
    <col min="4114" max="4114" width="11.44140625" customWidth="1"/>
    <col min="4353" max="4353" width="5.5546875" customWidth="1"/>
    <col min="4354" max="4354" width="12.71875" customWidth="1"/>
    <col min="4355" max="4355" width="12.1640625" customWidth="1"/>
    <col min="4356" max="4358" width="0" hidden="1" customWidth="1"/>
    <col min="4359" max="4359" width="22.71875" customWidth="1"/>
    <col min="4360" max="4360" width="11.83203125" customWidth="1"/>
    <col min="4361" max="4361" width="12.27734375" customWidth="1"/>
    <col min="4362" max="4362" width="15.27734375" customWidth="1"/>
    <col min="4363" max="4363" width="18" customWidth="1"/>
    <col min="4364" max="4364" width="11" customWidth="1"/>
    <col min="4365" max="4365" width="13" customWidth="1"/>
    <col min="4366" max="4366" width="11" customWidth="1"/>
    <col min="4367" max="4367" width="22.27734375" customWidth="1"/>
    <col min="4368" max="4368" width="28.71875" customWidth="1"/>
    <col min="4369" max="4369" width="18.27734375" customWidth="1"/>
    <col min="4370" max="4370" width="11.44140625" customWidth="1"/>
    <col min="4609" max="4609" width="5.5546875" customWidth="1"/>
    <col min="4610" max="4610" width="12.71875" customWidth="1"/>
    <col min="4611" max="4611" width="12.1640625" customWidth="1"/>
    <col min="4612" max="4614" width="0" hidden="1" customWidth="1"/>
    <col min="4615" max="4615" width="22.71875" customWidth="1"/>
    <col min="4616" max="4616" width="11.83203125" customWidth="1"/>
    <col min="4617" max="4617" width="12.27734375" customWidth="1"/>
    <col min="4618" max="4618" width="15.27734375" customWidth="1"/>
    <col min="4619" max="4619" width="18" customWidth="1"/>
    <col min="4620" max="4620" width="11" customWidth="1"/>
    <col min="4621" max="4621" width="13" customWidth="1"/>
    <col min="4622" max="4622" width="11" customWidth="1"/>
    <col min="4623" max="4623" width="22.27734375" customWidth="1"/>
    <col min="4624" max="4624" width="28.71875" customWidth="1"/>
    <col min="4625" max="4625" width="18.27734375" customWidth="1"/>
    <col min="4626" max="4626" width="11.44140625" customWidth="1"/>
    <col min="4865" max="4865" width="5.5546875" customWidth="1"/>
    <col min="4866" max="4866" width="12.71875" customWidth="1"/>
    <col min="4867" max="4867" width="12.1640625" customWidth="1"/>
    <col min="4868" max="4870" width="0" hidden="1" customWidth="1"/>
    <col min="4871" max="4871" width="22.71875" customWidth="1"/>
    <col min="4872" max="4872" width="11.83203125" customWidth="1"/>
    <col min="4873" max="4873" width="12.27734375" customWidth="1"/>
    <col min="4874" max="4874" width="15.27734375" customWidth="1"/>
    <col min="4875" max="4875" width="18" customWidth="1"/>
    <col min="4876" max="4876" width="11" customWidth="1"/>
    <col min="4877" max="4877" width="13" customWidth="1"/>
    <col min="4878" max="4878" width="11" customWidth="1"/>
    <col min="4879" max="4879" width="22.27734375" customWidth="1"/>
    <col min="4880" max="4880" width="28.71875" customWidth="1"/>
    <col min="4881" max="4881" width="18.27734375" customWidth="1"/>
    <col min="4882" max="4882" width="11.44140625" customWidth="1"/>
    <col min="5121" max="5121" width="5.5546875" customWidth="1"/>
    <col min="5122" max="5122" width="12.71875" customWidth="1"/>
    <col min="5123" max="5123" width="12.1640625" customWidth="1"/>
    <col min="5124" max="5126" width="0" hidden="1" customWidth="1"/>
    <col min="5127" max="5127" width="22.71875" customWidth="1"/>
    <col min="5128" max="5128" width="11.83203125" customWidth="1"/>
    <col min="5129" max="5129" width="12.27734375" customWidth="1"/>
    <col min="5130" max="5130" width="15.27734375" customWidth="1"/>
    <col min="5131" max="5131" width="18" customWidth="1"/>
    <col min="5132" max="5132" width="11" customWidth="1"/>
    <col min="5133" max="5133" width="13" customWidth="1"/>
    <col min="5134" max="5134" width="11" customWidth="1"/>
    <col min="5135" max="5135" width="22.27734375" customWidth="1"/>
    <col min="5136" max="5136" width="28.71875" customWidth="1"/>
    <col min="5137" max="5137" width="18.27734375" customWidth="1"/>
    <col min="5138" max="5138" width="11.44140625" customWidth="1"/>
    <col min="5377" max="5377" width="5.5546875" customWidth="1"/>
    <col min="5378" max="5378" width="12.71875" customWidth="1"/>
    <col min="5379" max="5379" width="12.1640625" customWidth="1"/>
    <col min="5380" max="5382" width="0" hidden="1" customWidth="1"/>
    <col min="5383" max="5383" width="22.71875" customWidth="1"/>
    <col min="5384" max="5384" width="11.83203125" customWidth="1"/>
    <col min="5385" max="5385" width="12.27734375" customWidth="1"/>
    <col min="5386" max="5386" width="15.27734375" customWidth="1"/>
    <col min="5387" max="5387" width="18" customWidth="1"/>
    <col min="5388" max="5388" width="11" customWidth="1"/>
    <col min="5389" max="5389" width="13" customWidth="1"/>
    <col min="5390" max="5390" width="11" customWidth="1"/>
    <col min="5391" max="5391" width="22.27734375" customWidth="1"/>
    <col min="5392" max="5392" width="28.71875" customWidth="1"/>
    <col min="5393" max="5393" width="18.27734375" customWidth="1"/>
    <col min="5394" max="5394" width="11.44140625" customWidth="1"/>
    <col min="5633" max="5633" width="5.5546875" customWidth="1"/>
    <col min="5634" max="5634" width="12.71875" customWidth="1"/>
    <col min="5635" max="5635" width="12.1640625" customWidth="1"/>
    <col min="5636" max="5638" width="0" hidden="1" customWidth="1"/>
    <col min="5639" max="5639" width="22.71875" customWidth="1"/>
    <col min="5640" max="5640" width="11.83203125" customWidth="1"/>
    <col min="5641" max="5641" width="12.27734375" customWidth="1"/>
    <col min="5642" max="5642" width="15.27734375" customWidth="1"/>
    <col min="5643" max="5643" width="18" customWidth="1"/>
    <col min="5644" max="5644" width="11" customWidth="1"/>
    <col min="5645" max="5645" width="13" customWidth="1"/>
    <col min="5646" max="5646" width="11" customWidth="1"/>
    <col min="5647" max="5647" width="22.27734375" customWidth="1"/>
    <col min="5648" max="5648" width="28.71875" customWidth="1"/>
    <col min="5649" max="5649" width="18.27734375" customWidth="1"/>
    <col min="5650" max="5650" width="11.44140625" customWidth="1"/>
    <col min="5889" max="5889" width="5.5546875" customWidth="1"/>
    <col min="5890" max="5890" width="12.71875" customWidth="1"/>
    <col min="5891" max="5891" width="12.1640625" customWidth="1"/>
    <col min="5892" max="5894" width="0" hidden="1" customWidth="1"/>
    <col min="5895" max="5895" width="22.71875" customWidth="1"/>
    <col min="5896" max="5896" width="11.83203125" customWidth="1"/>
    <col min="5897" max="5897" width="12.27734375" customWidth="1"/>
    <col min="5898" max="5898" width="15.27734375" customWidth="1"/>
    <col min="5899" max="5899" width="18" customWidth="1"/>
    <col min="5900" max="5900" width="11" customWidth="1"/>
    <col min="5901" max="5901" width="13" customWidth="1"/>
    <col min="5902" max="5902" width="11" customWidth="1"/>
    <col min="5903" max="5903" width="22.27734375" customWidth="1"/>
    <col min="5904" max="5904" width="28.71875" customWidth="1"/>
    <col min="5905" max="5905" width="18.27734375" customWidth="1"/>
    <col min="5906" max="5906" width="11.44140625" customWidth="1"/>
    <col min="6145" max="6145" width="5.5546875" customWidth="1"/>
    <col min="6146" max="6146" width="12.71875" customWidth="1"/>
    <col min="6147" max="6147" width="12.1640625" customWidth="1"/>
    <col min="6148" max="6150" width="0" hidden="1" customWidth="1"/>
    <col min="6151" max="6151" width="22.71875" customWidth="1"/>
    <col min="6152" max="6152" width="11.83203125" customWidth="1"/>
    <col min="6153" max="6153" width="12.27734375" customWidth="1"/>
    <col min="6154" max="6154" width="15.27734375" customWidth="1"/>
    <col min="6155" max="6155" width="18" customWidth="1"/>
    <col min="6156" max="6156" width="11" customWidth="1"/>
    <col min="6157" max="6157" width="13" customWidth="1"/>
    <col min="6158" max="6158" width="11" customWidth="1"/>
    <col min="6159" max="6159" width="22.27734375" customWidth="1"/>
    <col min="6160" max="6160" width="28.71875" customWidth="1"/>
    <col min="6161" max="6161" width="18.27734375" customWidth="1"/>
    <col min="6162" max="6162" width="11.44140625" customWidth="1"/>
    <col min="6401" max="6401" width="5.5546875" customWidth="1"/>
    <col min="6402" max="6402" width="12.71875" customWidth="1"/>
    <col min="6403" max="6403" width="12.1640625" customWidth="1"/>
    <col min="6404" max="6406" width="0" hidden="1" customWidth="1"/>
    <col min="6407" max="6407" width="22.71875" customWidth="1"/>
    <col min="6408" max="6408" width="11.83203125" customWidth="1"/>
    <col min="6409" max="6409" width="12.27734375" customWidth="1"/>
    <col min="6410" max="6410" width="15.27734375" customWidth="1"/>
    <col min="6411" max="6411" width="18" customWidth="1"/>
    <col min="6412" max="6412" width="11" customWidth="1"/>
    <col min="6413" max="6413" width="13" customWidth="1"/>
    <col min="6414" max="6414" width="11" customWidth="1"/>
    <col min="6415" max="6415" width="22.27734375" customWidth="1"/>
    <col min="6416" max="6416" width="28.71875" customWidth="1"/>
    <col min="6417" max="6417" width="18.27734375" customWidth="1"/>
    <col min="6418" max="6418" width="11.44140625" customWidth="1"/>
    <col min="6657" max="6657" width="5.5546875" customWidth="1"/>
    <col min="6658" max="6658" width="12.71875" customWidth="1"/>
    <col min="6659" max="6659" width="12.1640625" customWidth="1"/>
    <col min="6660" max="6662" width="0" hidden="1" customWidth="1"/>
    <col min="6663" max="6663" width="22.71875" customWidth="1"/>
    <col min="6664" max="6664" width="11.83203125" customWidth="1"/>
    <col min="6665" max="6665" width="12.27734375" customWidth="1"/>
    <col min="6666" max="6666" width="15.27734375" customWidth="1"/>
    <col min="6667" max="6667" width="18" customWidth="1"/>
    <col min="6668" max="6668" width="11" customWidth="1"/>
    <col min="6669" max="6669" width="13" customWidth="1"/>
    <col min="6670" max="6670" width="11" customWidth="1"/>
    <col min="6671" max="6671" width="22.27734375" customWidth="1"/>
    <col min="6672" max="6672" width="28.71875" customWidth="1"/>
    <col min="6673" max="6673" width="18.27734375" customWidth="1"/>
    <col min="6674" max="6674" width="11.44140625" customWidth="1"/>
    <col min="6913" max="6913" width="5.5546875" customWidth="1"/>
    <col min="6914" max="6914" width="12.71875" customWidth="1"/>
    <col min="6915" max="6915" width="12.1640625" customWidth="1"/>
    <col min="6916" max="6918" width="0" hidden="1" customWidth="1"/>
    <col min="6919" max="6919" width="22.71875" customWidth="1"/>
    <col min="6920" max="6920" width="11.83203125" customWidth="1"/>
    <col min="6921" max="6921" width="12.27734375" customWidth="1"/>
    <col min="6922" max="6922" width="15.27734375" customWidth="1"/>
    <col min="6923" max="6923" width="18" customWidth="1"/>
    <col min="6924" max="6924" width="11" customWidth="1"/>
    <col min="6925" max="6925" width="13" customWidth="1"/>
    <col min="6926" max="6926" width="11" customWidth="1"/>
    <col min="6927" max="6927" width="22.27734375" customWidth="1"/>
    <col min="6928" max="6928" width="28.71875" customWidth="1"/>
    <col min="6929" max="6929" width="18.27734375" customWidth="1"/>
    <col min="6930" max="6930" width="11.44140625" customWidth="1"/>
    <col min="7169" max="7169" width="5.5546875" customWidth="1"/>
    <col min="7170" max="7170" width="12.71875" customWidth="1"/>
    <col min="7171" max="7171" width="12.1640625" customWidth="1"/>
    <col min="7172" max="7174" width="0" hidden="1" customWidth="1"/>
    <col min="7175" max="7175" width="22.71875" customWidth="1"/>
    <col min="7176" max="7176" width="11.83203125" customWidth="1"/>
    <col min="7177" max="7177" width="12.27734375" customWidth="1"/>
    <col min="7178" max="7178" width="15.27734375" customWidth="1"/>
    <col min="7179" max="7179" width="18" customWidth="1"/>
    <col min="7180" max="7180" width="11" customWidth="1"/>
    <col min="7181" max="7181" width="13" customWidth="1"/>
    <col min="7182" max="7182" width="11" customWidth="1"/>
    <col min="7183" max="7183" width="22.27734375" customWidth="1"/>
    <col min="7184" max="7184" width="28.71875" customWidth="1"/>
    <col min="7185" max="7185" width="18.27734375" customWidth="1"/>
    <col min="7186" max="7186" width="11.44140625" customWidth="1"/>
    <col min="7425" max="7425" width="5.5546875" customWidth="1"/>
    <col min="7426" max="7426" width="12.71875" customWidth="1"/>
    <col min="7427" max="7427" width="12.1640625" customWidth="1"/>
    <col min="7428" max="7430" width="0" hidden="1" customWidth="1"/>
    <col min="7431" max="7431" width="22.71875" customWidth="1"/>
    <col min="7432" max="7432" width="11.83203125" customWidth="1"/>
    <col min="7433" max="7433" width="12.27734375" customWidth="1"/>
    <col min="7434" max="7434" width="15.27734375" customWidth="1"/>
    <col min="7435" max="7435" width="18" customWidth="1"/>
    <col min="7436" max="7436" width="11" customWidth="1"/>
    <col min="7437" max="7437" width="13" customWidth="1"/>
    <col min="7438" max="7438" width="11" customWidth="1"/>
    <col min="7439" max="7439" width="22.27734375" customWidth="1"/>
    <col min="7440" max="7440" width="28.71875" customWidth="1"/>
    <col min="7441" max="7441" width="18.27734375" customWidth="1"/>
    <col min="7442" max="7442" width="11.44140625" customWidth="1"/>
    <col min="7681" max="7681" width="5.5546875" customWidth="1"/>
    <col min="7682" max="7682" width="12.71875" customWidth="1"/>
    <col min="7683" max="7683" width="12.1640625" customWidth="1"/>
    <col min="7684" max="7686" width="0" hidden="1" customWidth="1"/>
    <col min="7687" max="7687" width="22.71875" customWidth="1"/>
    <col min="7688" max="7688" width="11.83203125" customWidth="1"/>
    <col min="7689" max="7689" width="12.27734375" customWidth="1"/>
    <col min="7690" max="7690" width="15.27734375" customWidth="1"/>
    <col min="7691" max="7691" width="18" customWidth="1"/>
    <col min="7692" max="7692" width="11" customWidth="1"/>
    <col min="7693" max="7693" width="13" customWidth="1"/>
    <col min="7694" max="7694" width="11" customWidth="1"/>
    <col min="7695" max="7695" width="22.27734375" customWidth="1"/>
    <col min="7696" max="7696" width="28.71875" customWidth="1"/>
    <col min="7697" max="7697" width="18.27734375" customWidth="1"/>
    <col min="7698" max="7698" width="11.44140625" customWidth="1"/>
    <col min="7937" max="7937" width="5.5546875" customWidth="1"/>
    <col min="7938" max="7938" width="12.71875" customWidth="1"/>
    <col min="7939" max="7939" width="12.1640625" customWidth="1"/>
    <col min="7940" max="7942" width="0" hidden="1" customWidth="1"/>
    <col min="7943" max="7943" width="22.71875" customWidth="1"/>
    <col min="7944" max="7944" width="11.83203125" customWidth="1"/>
    <col min="7945" max="7945" width="12.27734375" customWidth="1"/>
    <col min="7946" max="7946" width="15.27734375" customWidth="1"/>
    <col min="7947" max="7947" width="18" customWidth="1"/>
    <col min="7948" max="7948" width="11" customWidth="1"/>
    <col min="7949" max="7949" width="13" customWidth="1"/>
    <col min="7950" max="7950" width="11" customWidth="1"/>
    <col min="7951" max="7951" width="22.27734375" customWidth="1"/>
    <col min="7952" max="7952" width="28.71875" customWidth="1"/>
    <col min="7953" max="7953" width="18.27734375" customWidth="1"/>
    <col min="7954" max="7954" width="11.44140625" customWidth="1"/>
    <col min="8193" max="8193" width="5.5546875" customWidth="1"/>
    <col min="8194" max="8194" width="12.71875" customWidth="1"/>
    <col min="8195" max="8195" width="12.1640625" customWidth="1"/>
    <col min="8196" max="8198" width="0" hidden="1" customWidth="1"/>
    <col min="8199" max="8199" width="22.71875" customWidth="1"/>
    <col min="8200" max="8200" width="11.83203125" customWidth="1"/>
    <col min="8201" max="8201" width="12.27734375" customWidth="1"/>
    <col min="8202" max="8202" width="15.27734375" customWidth="1"/>
    <col min="8203" max="8203" width="18" customWidth="1"/>
    <col min="8204" max="8204" width="11" customWidth="1"/>
    <col min="8205" max="8205" width="13" customWidth="1"/>
    <col min="8206" max="8206" width="11" customWidth="1"/>
    <col min="8207" max="8207" width="22.27734375" customWidth="1"/>
    <col min="8208" max="8208" width="28.71875" customWidth="1"/>
    <col min="8209" max="8209" width="18.27734375" customWidth="1"/>
    <col min="8210" max="8210" width="11.44140625" customWidth="1"/>
    <col min="8449" max="8449" width="5.5546875" customWidth="1"/>
    <col min="8450" max="8450" width="12.71875" customWidth="1"/>
    <col min="8451" max="8451" width="12.1640625" customWidth="1"/>
    <col min="8452" max="8454" width="0" hidden="1" customWidth="1"/>
    <col min="8455" max="8455" width="22.71875" customWidth="1"/>
    <col min="8456" max="8456" width="11.83203125" customWidth="1"/>
    <col min="8457" max="8457" width="12.27734375" customWidth="1"/>
    <col min="8458" max="8458" width="15.27734375" customWidth="1"/>
    <col min="8459" max="8459" width="18" customWidth="1"/>
    <col min="8460" max="8460" width="11" customWidth="1"/>
    <col min="8461" max="8461" width="13" customWidth="1"/>
    <col min="8462" max="8462" width="11" customWidth="1"/>
    <col min="8463" max="8463" width="22.27734375" customWidth="1"/>
    <col min="8464" max="8464" width="28.71875" customWidth="1"/>
    <col min="8465" max="8465" width="18.27734375" customWidth="1"/>
    <col min="8466" max="8466" width="11.44140625" customWidth="1"/>
    <col min="8705" max="8705" width="5.5546875" customWidth="1"/>
    <col min="8706" max="8706" width="12.71875" customWidth="1"/>
    <col min="8707" max="8707" width="12.1640625" customWidth="1"/>
    <col min="8708" max="8710" width="0" hidden="1" customWidth="1"/>
    <col min="8711" max="8711" width="22.71875" customWidth="1"/>
    <col min="8712" max="8712" width="11.83203125" customWidth="1"/>
    <col min="8713" max="8713" width="12.27734375" customWidth="1"/>
    <col min="8714" max="8714" width="15.27734375" customWidth="1"/>
    <col min="8715" max="8715" width="18" customWidth="1"/>
    <col min="8716" max="8716" width="11" customWidth="1"/>
    <col min="8717" max="8717" width="13" customWidth="1"/>
    <col min="8718" max="8718" width="11" customWidth="1"/>
    <col min="8719" max="8719" width="22.27734375" customWidth="1"/>
    <col min="8720" max="8720" width="28.71875" customWidth="1"/>
    <col min="8721" max="8721" width="18.27734375" customWidth="1"/>
    <col min="8722" max="8722" width="11.44140625" customWidth="1"/>
    <col min="8961" max="8961" width="5.5546875" customWidth="1"/>
    <col min="8962" max="8962" width="12.71875" customWidth="1"/>
    <col min="8963" max="8963" width="12.1640625" customWidth="1"/>
    <col min="8964" max="8966" width="0" hidden="1" customWidth="1"/>
    <col min="8967" max="8967" width="22.71875" customWidth="1"/>
    <col min="8968" max="8968" width="11.83203125" customWidth="1"/>
    <col min="8969" max="8969" width="12.27734375" customWidth="1"/>
    <col min="8970" max="8970" width="15.27734375" customWidth="1"/>
    <col min="8971" max="8971" width="18" customWidth="1"/>
    <col min="8972" max="8972" width="11" customWidth="1"/>
    <col min="8973" max="8973" width="13" customWidth="1"/>
    <col min="8974" max="8974" width="11" customWidth="1"/>
    <col min="8975" max="8975" width="22.27734375" customWidth="1"/>
    <col min="8976" max="8976" width="28.71875" customWidth="1"/>
    <col min="8977" max="8977" width="18.27734375" customWidth="1"/>
    <col min="8978" max="8978" width="11.44140625" customWidth="1"/>
    <col min="9217" max="9217" width="5.5546875" customWidth="1"/>
    <col min="9218" max="9218" width="12.71875" customWidth="1"/>
    <col min="9219" max="9219" width="12.1640625" customWidth="1"/>
    <col min="9220" max="9222" width="0" hidden="1" customWidth="1"/>
    <col min="9223" max="9223" width="22.71875" customWidth="1"/>
    <col min="9224" max="9224" width="11.83203125" customWidth="1"/>
    <col min="9225" max="9225" width="12.27734375" customWidth="1"/>
    <col min="9226" max="9226" width="15.27734375" customWidth="1"/>
    <col min="9227" max="9227" width="18" customWidth="1"/>
    <col min="9228" max="9228" width="11" customWidth="1"/>
    <col min="9229" max="9229" width="13" customWidth="1"/>
    <col min="9230" max="9230" width="11" customWidth="1"/>
    <col min="9231" max="9231" width="22.27734375" customWidth="1"/>
    <col min="9232" max="9232" width="28.71875" customWidth="1"/>
    <col min="9233" max="9233" width="18.27734375" customWidth="1"/>
    <col min="9234" max="9234" width="11.44140625" customWidth="1"/>
    <col min="9473" max="9473" width="5.5546875" customWidth="1"/>
    <col min="9474" max="9474" width="12.71875" customWidth="1"/>
    <col min="9475" max="9475" width="12.1640625" customWidth="1"/>
    <col min="9476" max="9478" width="0" hidden="1" customWidth="1"/>
    <col min="9479" max="9479" width="22.71875" customWidth="1"/>
    <col min="9480" max="9480" width="11.83203125" customWidth="1"/>
    <col min="9481" max="9481" width="12.27734375" customWidth="1"/>
    <col min="9482" max="9482" width="15.27734375" customWidth="1"/>
    <col min="9483" max="9483" width="18" customWidth="1"/>
    <col min="9484" max="9484" width="11" customWidth="1"/>
    <col min="9485" max="9485" width="13" customWidth="1"/>
    <col min="9486" max="9486" width="11" customWidth="1"/>
    <col min="9487" max="9487" width="22.27734375" customWidth="1"/>
    <col min="9488" max="9488" width="28.71875" customWidth="1"/>
    <col min="9489" max="9489" width="18.27734375" customWidth="1"/>
    <col min="9490" max="9490" width="11.44140625" customWidth="1"/>
    <col min="9729" max="9729" width="5.5546875" customWidth="1"/>
    <col min="9730" max="9730" width="12.71875" customWidth="1"/>
    <col min="9731" max="9731" width="12.1640625" customWidth="1"/>
    <col min="9732" max="9734" width="0" hidden="1" customWidth="1"/>
    <col min="9735" max="9735" width="22.71875" customWidth="1"/>
    <col min="9736" max="9736" width="11.83203125" customWidth="1"/>
    <col min="9737" max="9737" width="12.27734375" customWidth="1"/>
    <col min="9738" max="9738" width="15.27734375" customWidth="1"/>
    <col min="9739" max="9739" width="18" customWidth="1"/>
    <col min="9740" max="9740" width="11" customWidth="1"/>
    <col min="9741" max="9741" width="13" customWidth="1"/>
    <col min="9742" max="9742" width="11" customWidth="1"/>
    <col min="9743" max="9743" width="22.27734375" customWidth="1"/>
    <col min="9744" max="9744" width="28.71875" customWidth="1"/>
    <col min="9745" max="9745" width="18.27734375" customWidth="1"/>
    <col min="9746" max="9746" width="11.44140625" customWidth="1"/>
    <col min="9985" max="9985" width="5.5546875" customWidth="1"/>
    <col min="9986" max="9986" width="12.71875" customWidth="1"/>
    <col min="9987" max="9987" width="12.1640625" customWidth="1"/>
    <col min="9988" max="9990" width="0" hidden="1" customWidth="1"/>
    <col min="9991" max="9991" width="22.71875" customWidth="1"/>
    <col min="9992" max="9992" width="11.83203125" customWidth="1"/>
    <col min="9993" max="9993" width="12.27734375" customWidth="1"/>
    <col min="9994" max="9994" width="15.27734375" customWidth="1"/>
    <col min="9995" max="9995" width="18" customWidth="1"/>
    <col min="9996" max="9996" width="11" customWidth="1"/>
    <col min="9997" max="9997" width="13" customWidth="1"/>
    <col min="9998" max="9998" width="11" customWidth="1"/>
    <col min="9999" max="9999" width="22.27734375" customWidth="1"/>
    <col min="10000" max="10000" width="28.71875" customWidth="1"/>
    <col min="10001" max="10001" width="18.27734375" customWidth="1"/>
    <col min="10002" max="10002" width="11.44140625" customWidth="1"/>
    <col min="10241" max="10241" width="5.5546875" customWidth="1"/>
    <col min="10242" max="10242" width="12.71875" customWidth="1"/>
    <col min="10243" max="10243" width="12.1640625" customWidth="1"/>
    <col min="10244" max="10246" width="0" hidden="1" customWidth="1"/>
    <col min="10247" max="10247" width="22.71875" customWidth="1"/>
    <col min="10248" max="10248" width="11.83203125" customWidth="1"/>
    <col min="10249" max="10249" width="12.27734375" customWidth="1"/>
    <col min="10250" max="10250" width="15.27734375" customWidth="1"/>
    <col min="10251" max="10251" width="18" customWidth="1"/>
    <col min="10252" max="10252" width="11" customWidth="1"/>
    <col min="10253" max="10253" width="13" customWidth="1"/>
    <col min="10254" max="10254" width="11" customWidth="1"/>
    <col min="10255" max="10255" width="22.27734375" customWidth="1"/>
    <col min="10256" max="10256" width="28.71875" customWidth="1"/>
    <col min="10257" max="10257" width="18.27734375" customWidth="1"/>
    <col min="10258" max="10258" width="11.44140625" customWidth="1"/>
    <col min="10497" max="10497" width="5.5546875" customWidth="1"/>
    <col min="10498" max="10498" width="12.71875" customWidth="1"/>
    <col min="10499" max="10499" width="12.1640625" customWidth="1"/>
    <col min="10500" max="10502" width="0" hidden="1" customWidth="1"/>
    <col min="10503" max="10503" width="22.71875" customWidth="1"/>
    <col min="10504" max="10504" width="11.83203125" customWidth="1"/>
    <col min="10505" max="10505" width="12.27734375" customWidth="1"/>
    <col min="10506" max="10506" width="15.27734375" customWidth="1"/>
    <col min="10507" max="10507" width="18" customWidth="1"/>
    <col min="10508" max="10508" width="11" customWidth="1"/>
    <col min="10509" max="10509" width="13" customWidth="1"/>
    <col min="10510" max="10510" width="11" customWidth="1"/>
    <col min="10511" max="10511" width="22.27734375" customWidth="1"/>
    <col min="10512" max="10512" width="28.71875" customWidth="1"/>
    <col min="10513" max="10513" width="18.27734375" customWidth="1"/>
    <col min="10514" max="10514" width="11.44140625" customWidth="1"/>
    <col min="10753" max="10753" width="5.5546875" customWidth="1"/>
    <col min="10754" max="10754" width="12.71875" customWidth="1"/>
    <col min="10755" max="10755" width="12.1640625" customWidth="1"/>
    <col min="10756" max="10758" width="0" hidden="1" customWidth="1"/>
    <col min="10759" max="10759" width="22.71875" customWidth="1"/>
    <col min="10760" max="10760" width="11.83203125" customWidth="1"/>
    <col min="10761" max="10761" width="12.27734375" customWidth="1"/>
    <col min="10762" max="10762" width="15.27734375" customWidth="1"/>
    <col min="10763" max="10763" width="18" customWidth="1"/>
    <col min="10764" max="10764" width="11" customWidth="1"/>
    <col min="10765" max="10765" width="13" customWidth="1"/>
    <col min="10766" max="10766" width="11" customWidth="1"/>
    <col min="10767" max="10767" width="22.27734375" customWidth="1"/>
    <col min="10768" max="10768" width="28.71875" customWidth="1"/>
    <col min="10769" max="10769" width="18.27734375" customWidth="1"/>
    <col min="10770" max="10770" width="11.44140625" customWidth="1"/>
    <col min="11009" max="11009" width="5.5546875" customWidth="1"/>
    <col min="11010" max="11010" width="12.71875" customWidth="1"/>
    <col min="11011" max="11011" width="12.1640625" customWidth="1"/>
    <col min="11012" max="11014" width="0" hidden="1" customWidth="1"/>
    <col min="11015" max="11015" width="22.71875" customWidth="1"/>
    <col min="11016" max="11016" width="11.83203125" customWidth="1"/>
    <col min="11017" max="11017" width="12.27734375" customWidth="1"/>
    <col min="11018" max="11018" width="15.27734375" customWidth="1"/>
    <col min="11019" max="11019" width="18" customWidth="1"/>
    <col min="11020" max="11020" width="11" customWidth="1"/>
    <col min="11021" max="11021" width="13" customWidth="1"/>
    <col min="11022" max="11022" width="11" customWidth="1"/>
    <col min="11023" max="11023" width="22.27734375" customWidth="1"/>
    <col min="11024" max="11024" width="28.71875" customWidth="1"/>
    <col min="11025" max="11025" width="18.27734375" customWidth="1"/>
    <col min="11026" max="11026" width="11.44140625" customWidth="1"/>
    <col min="11265" max="11265" width="5.5546875" customWidth="1"/>
    <col min="11266" max="11266" width="12.71875" customWidth="1"/>
    <col min="11267" max="11267" width="12.1640625" customWidth="1"/>
    <col min="11268" max="11270" width="0" hidden="1" customWidth="1"/>
    <col min="11271" max="11271" width="22.71875" customWidth="1"/>
    <col min="11272" max="11272" width="11.83203125" customWidth="1"/>
    <col min="11273" max="11273" width="12.27734375" customWidth="1"/>
    <col min="11274" max="11274" width="15.27734375" customWidth="1"/>
    <col min="11275" max="11275" width="18" customWidth="1"/>
    <col min="11276" max="11276" width="11" customWidth="1"/>
    <col min="11277" max="11277" width="13" customWidth="1"/>
    <col min="11278" max="11278" width="11" customWidth="1"/>
    <col min="11279" max="11279" width="22.27734375" customWidth="1"/>
    <col min="11280" max="11280" width="28.71875" customWidth="1"/>
    <col min="11281" max="11281" width="18.27734375" customWidth="1"/>
    <col min="11282" max="11282" width="11.44140625" customWidth="1"/>
    <col min="11521" max="11521" width="5.5546875" customWidth="1"/>
    <col min="11522" max="11522" width="12.71875" customWidth="1"/>
    <col min="11523" max="11523" width="12.1640625" customWidth="1"/>
    <col min="11524" max="11526" width="0" hidden="1" customWidth="1"/>
    <col min="11527" max="11527" width="22.71875" customWidth="1"/>
    <col min="11528" max="11528" width="11.83203125" customWidth="1"/>
    <col min="11529" max="11529" width="12.27734375" customWidth="1"/>
    <col min="11530" max="11530" width="15.27734375" customWidth="1"/>
    <col min="11531" max="11531" width="18" customWidth="1"/>
    <col min="11532" max="11532" width="11" customWidth="1"/>
    <col min="11533" max="11533" width="13" customWidth="1"/>
    <col min="11534" max="11534" width="11" customWidth="1"/>
    <col min="11535" max="11535" width="22.27734375" customWidth="1"/>
    <col min="11536" max="11536" width="28.71875" customWidth="1"/>
    <col min="11537" max="11537" width="18.27734375" customWidth="1"/>
    <col min="11538" max="11538" width="11.44140625" customWidth="1"/>
    <col min="11777" max="11777" width="5.5546875" customWidth="1"/>
    <col min="11778" max="11778" width="12.71875" customWidth="1"/>
    <col min="11779" max="11779" width="12.1640625" customWidth="1"/>
    <col min="11780" max="11782" width="0" hidden="1" customWidth="1"/>
    <col min="11783" max="11783" width="22.71875" customWidth="1"/>
    <col min="11784" max="11784" width="11.83203125" customWidth="1"/>
    <col min="11785" max="11785" width="12.27734375" customWidth="1"/>
    <col min="11786" max="11786" width="15.27734375" customWidth="1"/>
    <col min="11787" max="11787" width="18" customWidth="1"/>
    <col min="11788" max="11788" width="11" customWidth="1"/>
    <col min="11789" max="11789" width="13" customWidth="1"/>
    <col min="11790" max="11790" width="11" customWidth="1"/>
    <col min="11791" max="11791" width="22.27734375" customWidth="1"/>
    <col min="11792" max="11792" width="28.71875" customWidth="1"/>
    <col min="11793" max="11793" width="18.27734375" customWidth="1"/>
    <col min="11794" max="11794" width="11.44140625" customWidth="1"/>
    <col min="12033" max="12033" width="5.5546875" customWidth="1"/>
    <col min="12034" max="12034" width="12.71875" customWidth="1"/>
    <col min="12035" max="12035" width="12.1640625" customWidth="1"/>
    <col min="12036" max="12038" width="0" hidden="1" customWidth="1"/>
    <col min="12039" max="12039" width="22.71875" customWidth="1"/>
    <col min="12040" max="12040" width="11.83203125" customWidth="1"/>
    <col min="12041" max="12041" width="12.27734375" customWidth="1"/>
    <col min="12042" max="12042" width="15.27734375" customWidth="1"/>
    <col min="12043" max="12043" width="18" customWidth="1"/>
    <col min="12044" max="12044" width="11" customWidth="1"/>
    <col min="12045" max="12045" width="13" customWidth="1"/>
    <col min="12046" max="12046" width="11" customWidth="1"/>
    <col min="12047" max="12047" width="22.27734375" customWidth="1"/>
    <col min="12048" max="12048" width="28.71875" customWidth="1"/>
    <col min="12049" max="12049" width="18.27734375" customWidth="1"/>
    <col min="12050" max="12050" width="11.44140625" customWidth="1"/>
    <col min="12289" max="12289" width="5.5546875" customWidth="1"/>
    <col min="12290" max="12290" width="12.71875" customWidth="1"/>
    <col min="12291" max="12291" width="12.1640625" customWidth="1"/>
    <col min="12292" max="12294" width="0" hidden="1" customWidth="1"/>
    <col min="12295" max="12295" width="22.71875" customWidth="1"/>
    <col min="12296" max="12296" width="11.83203125" customWidth="1"/>
    <col min="12297" max="12297" width="12.27734375" customWidth="1"/>
    <col min="12298" max="12298" width="15.27734375" customWidth="1"/>
    <col min="12299" max="12299" width="18" customWidth="1"/>
    <col min="12300" max="12300" width="11" customWidth="1"/>
    <col min="12301" max="12301" width="13" customWidth="1"/>
    <col min="12302" max="12302" width="11" customWidth="1"/>
    <col min="12303" max="12303" width="22.27734375" customWidth="1"/>
    <col min="12304" max="12304" width="28.71875" customWidth="1"/>
    <col min="12305" max="12305" width="18.27734375" customWidth="1"/>
    <col min="12306" max="12306" width="11.44140625" customWidth="1"/>
    <col min="12545" max="12545" width="5.5546875" customWidth="1"/>
    <col min="12546" max="12546" width="12.71875" customWidth="1"/>
    <col min="12547" max="12547" width="12.1640625" customWidth="1"/>
    <col min="12548" max="12550" width="0" hidden="1" customWidth="1"/>
    <col min="12551" max="12551" width="22.71875" customWidth="1"/>
    <col min="12552" max="12552" width="11.83203125" customWidth="1"/>
    <col min="12553" max="12553" width="12.27734375" customWidth="1"/>
    <col min="12554" max="12554" width="15.27734375" customWidth="1"/>
    <col min="12555" max="12555" width="18" customWidth="1"/>
    <col min="12556" max="12556" width="11" customWidth="1"/>
    <col min="12557" max="12557" width="13" customWidth="1"/>
    <col min="12558" max="12558" width="11" customWidth="1"/>
    <col min="12559" max="12559" width="22.27734375" customWidth="1"/>
    <col min="12560" max="12560" width="28.71875" customWidth="1"/>
    <col min="12561" max="12561" width="18.27734375" customWidth="1"/>
    <col min="12562" max="12562" width="11.44140625" customWidth="1"/>
    <col min="12801" max="12801" width="5.5546875" customWidth="1"/>
    <col min="12802" max="12802" width="12.71875" customWidth="1"/>
    <col min="12803" max="12803" width="12.1640625" customWidth="1"/>
    <col min="12804" max="12806" width="0" hidden="1" customWidth="1"/>
    <col min="12807" max="12807" width="22.71875" customWidth="1"/>
    <col min="12808" max="12808" width="11.83203125" customWidth="1"/>
    <col min="12809" max="12809" width="12.27734375" customWidth="1"/>
    <col min="12810" max="12810" width="15.27734375" customWidth="1"/>
    <col min="12811" max="12811" width="18" customWidth="1"/>
    <col min="12812" max="12812" width="11" customWidth="1"/>
    <col min="12813" max="12813" width="13" customWidth="1"/>
    <col min="12814" max="12814" width="11" customWidth="1"/>
    <col min="12815" max="12815" width="22.27734375" customWidth="1"/>
    <col min="12816" max="12816" width="28.71875" customWidth="1"/>
    <col min="12817" max="12817" width="18.27734375" customWidth="1"/>
    <col min="12818" max="12818" width="11.44140625" customWidth="1"/>
    <col min="13057" max="13057" width="5.5546875" customWidth="1"/>
    <col min="13058" max="13058" width="12.71875" customWidth="1"/>
    <col min="13059" max="13059" width="12.1640625" customWidth="1"/>
    <col min="13060" max="13062" width="0" hidden="1" customWidth="1"/>
    <col min="13063" max="13063" width="22.71875" customWidth="1"/>
    <col min="13064" max="13064" width="11.83203125" customWidth="1"/>
    <col min="13065" max="13065" width="12.27734375" customWidth="1"/>
    <col min="13066" max="13066" width="15.27734375" customWidth="1"/>
    <col min="13067" max="13067" width="18" customWidth="1"/>
    <col min="13068" max="13068" width="11" customWidth="1"/>
    <col min="13069" max="13069" width="13" customWidth="1"/>
    <col min="13070" max="13070" width="11" customWidth="1"/>
    <col min="13071" max="13071" width="22.27734375" customWidth="1"/>
    <col min="13072" max="13072" width="28.71875" customWidth="1"/>
    <col min="13073" max="13073" width="18.27734375" customWidth="1"/>
    <col min="13074" max="13074" width="11.44140625" customWidth="1"/>
    <col min="13313" max="13313" width="5.5546875" customWidth="1"/>
    <col min="13314" max="13314" width="12.71875" customWidth="1"/>
    <col min="13315" max="13315" width="12.1640625" customWidth="1"/>
    <col min="13316" max="13318" width="0" hidden="1" customWidth="1"/>
    <col min="13319" max="13319" width="22.71875" customWidth="1"/>
    <col min="13320" max="13320" width="11.83203125" customWidth="1"/>
    <col min="13321" max="13321" width="12.27734375" customWidth="1"/>
    <col min="13322" max="13322" width="15.27734375" customWidth="1"/>
    <col min="13323" max="13323" width="18" customWidth="1"/>
    <col min="13324" max="13324" width="11" customWidth="1"/>
    <col min="13325" max="13325" width="13" customWidth="1"/>
    <col min="13326" max="13326" width="11" customWidth="1"/>
    <col min="13327" max="13327" width="22.27734375" customWidth="1"/>
    <col min="13328" max="13328" width="28.71875" customWidth="1"/>
    <col min="13329" max="13329" width="18.27734375" customWidth="1"/>
    <col min="13330" max="13330" width="11.44140625" customWidth="1"/>
    <col min="13569" max="13569" width="5.5546875" customWidth="1"/>
    <col min="13570" max="13570" width="12.71875" customWidth="1"/>
    <col min="13571" max="13571" width="12.1640625" customWidth="1"/>
    <col min="13572" max="13574" width="0" hidden="1" customWidth="1"/>
    <col min="13575" max="13575" width="22.71875" customWidth="1"/>
    <col min="13576" max="13576" width="11.83203125" customWidth="1"/>
    <col min="13577" max="13577" width="12.27734375" customWidth="1"/>
    <col min="13578" max="13578" width="15.27734375" customWidth="1"/>
    <col min="13579" max="13579" width="18" customWidth="1"/>
    <col min="13580" max="13580" width="11" customWidth="1"/>
    <col min="13581" max="13581" width="13" customWidth="1"/>
    <col min="13582" max="13582" width="11" customWidth="1"/>
    <col min="13583" max="13583" width="22.27734375" customWidth="1"/>
    <col min="13584" max="13584" width="28.71875" customWidth="1"/>
    <col min="13585" max="13585" width="18.27734375" customWidth="1"/>
    <col min="13586" max="13586" width="11.44140625" customWidth="1"/>
    <col min="13825" max="13825" width="5.5546875" customWidth="1"/>
    <col min="13826" max="13826" width="12.71875" customWidth="1"/>
    <col min="13827" max="13827" width="12.1640625" customWidth="1"/>
    <col min="13828" max="13830" width="0" hidden="1" customWidth="1"/>
    <col min="13831" max="13831" width="22.71875" customWidth="1"/>
    <col min="13832" max="13832" width="11.83203125" customWidth="1"/>
    <col min="13833" max="13833" width="12.27734375" customWidth="1"/>
    <col min="13834" max="13834" width="15.27734375" customWidth="1"/>
    <col min="13835" max="13835" width="18" customWidth="1"/>
    <col min="13836" max="13836" width="11" customWidth="1"/>
    <col min="13837" max="13837" width="13" customWidth="1"/>
    <col min="13838" max="13838" width="11" customWidth="1"/>
    <col min="13839" max="13839" width="22.27734375" customWidth="1"/>
    <col min="13840" max="13840" width="28.71875" customWidth="1"/>
    <col min="13841" max="13841" width="18.27734375" customWidth="1"/>
    <col min="13842" max="13842" width="11.44140625" customWidth="1"/>
    <col min="14081" max="14081" width="5.5546875" customWidth="1"/>
    <col min="14082" max="14082" width="12.71875" customWidth="1"/>
    <col min="14083" max="14083" width="12.1640625" customWidth="1"/>
    <col min="14084" max="14086" width="0" hidden="1" customWidth="1"/>
    <col min="14087" max="14087" width="22.71875" customWidth="1"/>
    <col min="14088" max="14088" width="11.83203125" customWidth="1"/>
    <col min="14089" max="14089" width="12.27734375" customWidth="1"/>
    <col min="14090" max="14090" width="15.27734375" customWidth="1"/>
    <col min="14091" max="14091" width="18" customWidth="1"/>
    <col min="14092" max="14092" width="11" customWidth="1"/>
    <col min="14093" max="14093" width="13" customWidth="1"/>
    <col min="14094" max="14094" width="11" customWidth="1"/>
    <col min="14095" max="14095" width="22.27734375" customWidth="1"/>
    <col min="14096" max="14096" width="28.71875" customWidth="1"/>
    <col min="14097" max="14097" width="18.27734375" customWidth="1"/>
    <col min="14098" max="14098" width="11.44140625" customWidth="1"/>
    <col min="14337" max="14337" width="5.5546875" customWidth="1"/>
    <col min="14338" max="14338" width="12.71875" customWidth="1"/>
    <col min="14339" max="14339" width="12.1640625" customWidth="1"/>
    <col min="14340" max="14342" width="0" hidden="1" customWidth="1"/>
    <col min="14343" max="14343" width="22.71875" customWidth="1"/>
    <col min="14344" max="14344" width="11.83203125" customWidth="1"/>
    <col min="14345" max="14345" width="12.27734375" customWidth="1"/>
    <col min="14346" max="14346" width="15.27734375" customWidth="1"/>
    <col min="14347" max="14347" width="18" customWidth="1"/>
    <col min="14348" max="14348" width="11" customWidth="1"/>
    <col min="14349" max="14349" width="13" customWidth="1"/>
    <col min="14350" max="14350" width="11" customWidth="1"/>
    <col min="14351" max="14351" width="22.27734375" customWidth="1"/>
    <col min="14352" max="14352" width="28.71875" customWidth="1"/>
    <col min="14353" max="14353" width="18.27734375" customWidth="1"/>
    <col min="14354" max="14354" width="11.44140625" customWidth="1"/>
    <col min="14593" max="14593" width="5.5546875" customWidth="1"/>
    <col min="14594" max="14594" width="12.71875" customWidth="1"/>
    <col min="14595" max="14595" width="12.1640625" customWidth="1"/>
    <col min="14596" max="14598" width="0" hidden="1" customWidth="1"/>
    <col min="14599" max="14599" width="22.71875" customWidth="1"/>
    <col min="14600" max="14600" width="11.83203125" customWidth="1"/>
    <col min="14601" max="14601" width="12.27734375" customWidth="1"/>
    <col min="14602" max="14602" width="15.27734375" customWidth="1"/>
    <col min="14603" max="14603" width="18" customWidth="1"/>
    <col min="14604" max="14604" width="11" customWidth="1"/>
    <col min="14605" max="14605" width="13" customWidth="1"/>
    <col min="14606" max="14606" width="11" customWidth="1"/>
    <col min="14607" max="14607" width="22.27734375" customWidth="1"/>
    <col min="14608" max="14608" width="28.71875" customWidth="1"/>
    <col min="14609" max="14609" width="18.27734375" customWidth="1"/>
    <col min="14610" max="14610" width="11.44140625" customWidth="1"/>
    <col min="14849" max="14849" width="5.5546875" customWidth="1"/>
    <col min="14850" max="14850" width="12.71875" customWidth="1"/>
    <col min="14851" max="14851" width="12.1640625" customWidth="1"/>
    <col min="14852" max="14854" width="0" hidden="1" customWidth="1"/>
    <col min="14855" max="14855" width="22.71875" customWidth="1"/>
    <col min="14856" max="14856" width="11.83203125" customWidth="1"/>
    <col min="14857" max="14857" width="12.27734375" customWidth="1"/>
    <col min="14858" max="14858" width="15.27734375" customWidth="1"/>
    <col min="14859" max="14859" width="18" customWidth="1"/>
    <col min="14860" max="14860" width="11" customWidth="1"/>
    <col min="14861" max="14861" width="13" customWidth="1"/>
    <col min="14862" max="14862" width="11" customWidth="1"/>
    <col min="14863" max="14863" width="22.27734375" customWidth="1"/>
    <col min="14864" max="14864" width="28.71875" customWidth="1"/>
    <col min="14865" max="14865" width="18.27734375" customWidth="1"/>
    <col min="14866" max="14866" width="11.44140625" customWidth="1"/>
    <col min="15105" max="15105" width="5.5546875" customWidth="1"/>
    <col min="15106" max="15106" width="12.71875" customWidth="1"/>
    <col min="15107" max="15107" width="12.1640625" customWidth="1"/>
    <col min="15108" max="15110" width="0" hidden="1" customWidth="1"/>
    <col min="15111" max="15111" width="22.71875" customWidth="1"/>
    <col min="15112" max="15112" width="11.83203125" customWidth="1"/>
    <col min="15113" max="15113" width="12.27734375" customWidth="1"/>
    <col min="15114" max="15114" width="15.27734375" customWidth="1"/>
    <col min="15115" max="15115" width="18" customWidth="1"/>
    <col min="15116" max="15116" width="11" customWidth="1"/>
    <col min="15117" max="15117" width="13" customWidth="1"/>
    <col min="15118" max="15118" width="11" customWidth="1"/>
    <col min="15119" max="15119" width="22.27734375" customWidth="1"/>
    <col min="15120" max="15120" width="28.71875" customWidth="1"/>
    <col min="15121" max="15121" width="18.27734375" customWidth="1"/>
    <col min="15122" max="15122" width="11.44140625" customWidth="1"/>
    <col min="15361" max="15361" width="5.5546875" customWidth="1"/>
    <col min="15362" max="15362" width="12.71875" customWidth="1"/>
    <col min="15363" max="15363" width="12.1640625" customWidth="1"/>
    <col min="15364" max="15366" width="0" hidden="1" customWidth="1"/>
    <col min="15367" max="15367" width="22.71875" customWidth="1"/>
    <col min="15368" max="15368" width="11.83203125" customWidth="1"/>
    <col min="15369" max="15369" width="12.27734375" customWidth="1"/>
    <col min="15370" max="15370" width="15.27734375" customWidth="1"/>
    <col min="15371" max="15371" width="18" customWidth="1"/>
    <col min="15372" max="15372" width="11" customWidth="1"/>
    <col min="15373" max="15373" width="13" customWidth="1"/>
    <col min="15374" max="15374" width="11" customWidth="1"/>
    <col min="15375" max="15375" width="22.27734375" customWidth="1"/>
    <col min="15376" max="15376" width="28.71875" customWidth="1"/>
    <col min="15377" max="15377" width="18.27734375" customWidth="1"/>
    <col min="15378" max="15378" width="11.44140625" customWidth="1"/>
    <col min="15617" max="15617" width="5.5546875" customWidth="1"/>
    <col min="15618" max="15618" width="12.71875" customWidth="1"/>
    <col min="15619" max="15619" width="12.1640625" customWidth="1"/>
    <col min="15620" max="15622" width="0" hidden="1" customWidth="1"/>
    <col min="15623" max="15623" width="22.71875" customWidth="1"/>
    <col min="15624" max="15624" width="11.83203125" customWidth="1"/>
    <col min="15625" max="15625" width="12.27734375" customWidth="1"/>
    <col min="15626" max="15626" width="15.27734375" customWidth="1"/>
    <col min="15627" max="15627" width="18" customWidth="1"/>
    <col min="15628" max="15628" width="11" customWidth="1"/>
    <col min="15629" max="15629" width="13" customWidth="1"/>
    <col min="15630" max="15630" width="11" customWidth="1"/>
    <col min="15631" max="15631" width="22.27734375" customWidth="1"/>
    <col min="15632" max="15632" width="28.71875" customWidth="1"/>
    <col min="15633" max="15633" width="18.27734375" customWidth="1"/>
    <col min="15634" max="15634" width="11.44140625" customWidth="1"/>
    <col min="15873" max="15873" width="5.5546875" customWidth="1"/>
    <col min="15874" max="15874" width="12.71875" customWidth="1"/>
    <col min="15875" max="15875" width="12.1640625" customWidth="1"/>
    <col min="15876" max="15878" width="0" hidden="1" customWidth="1"/>
    <col min="15879" max="15879" width="22.71875" customWidth="1"/>
    <col min="15880" max="15880" width="11.83203125" customWidth="1"/>
    <col min="15881" max="15881" width="12.27734375" customWidth="1"/>
    <col min="15882" max="15882" width="15.27734375" customWidth="1"/>
    <col min="15883" max="15883" width="18" customWidth="1"/>
    <col min="15884" max="15884" width="11" customWidth="1"/>
    <col min="15885" max="15885" width="13" customWidth="1"/>
    <col min="15886" max="15886" width="11" customWidth="1"/>
    <col min="15887" max="15887" width="22.27734375" customWidth="1"/>
    <col min="15888" max="15888" width="28.71875" customWidth="1"/>
    <col min="15889" max="15889" width="18.27734375" customWidth="1"/>
    <col min="15890" max="15890" width="11.44140625" customWidth="1"/>
    <col min="16129" max="16129" width="5.5546875" customWidth="1"/>
    <col min="16130" max="16130" width="12.71875" customWidth="1"/>
    <col min="16131" max="16131" width="12.1640625" customWidth="1"/>
    <col min="16132" max="16134" width="0" hidden="1" customWidth="1"/>
    <col min="16135" max="16135" width="22.71875" customWidth="1"/>
    <col min="16136" max="16136" width="11.83203125" customWidth="1"/>
    <col min="16137" max="16137" width="12.27734375" customWidth="1"/>
    <col min="16138" max="16138" width="15.27734375" customWidth="1"/>
    <col min="16139" max="16139" width="18" customWidth="1"/>
    <col min="16140" max="16140" width="11" customWidth="1"/>
    <col min="16141" max="16141" width="13" customWidth="1"/>
    <col min="16142" max="16142" width="11" customWidth="1"/>
    <col min="16143" max="16143" width="22.27734375" customWidth="1"/>
    <col min="16144" max="16144" width="28.71875" customWidth="1"/>
    <col min="16145" max="16145" width="18.27734375" customWidth="1"/>
    <col min="16146" max="16146" width="11.44140625" customWidth="1"/>
  </cols>
  <sheetData>
    <row r="2" spans="1:18" ht="24" customHeight="1" x14ac:dyDescent="0.4">
      <c r="A2" s="1" t="s">
        <v>0</v>
      </c>
      <c r="B2" s="1"/>
      <c r="C2" s="1"/>
      <c r="D2" s="1"/>
      <c r="E2" s="2"/>
      <c r="F2" s="2"/>
      <c r="G2" s="2">
        <v>2020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s="10" customFormat="1" ht="28.8" x14ac:dyDescent="0.4">
      <c r="A3" s="3" t="s">
        <v>1</v>
      </c>
      <c r="B3" s="3" t="s">
        <v>2</v>
      </c>
      <c r="C3" s="3" t="s">
        <v>3</v>
      </c>
      <c r="D3" s="4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6" t="s">
        <v>13</v>
      </c>
      <c r="N3" s="6" t="s">
        <v>14</v>
      </c>
      <c r="O3" s="6" t="s">
        <v>15</v>
      </c>
      <c r="P3" s="8" t="s">
        <v>16</v>
      </c>
      <c r="Q3" s="6" t="s">
        <v>17</v>
      </c>
      <c r="R3" s="9" t="s">
        <v>18</v>
      </c>
    </row>
    <row r="4" spans="1:18" ht="14.4" x14ac:dyDescent="0.55000000000000004">
      <c r="A4" s="11" t="s">
        <v>1</v>
      </c>
      <c r="B4" s="12" t="s">
        <v>19</v>
      </c>
      <c r="C4" s="12" t="s">
        <v>20</v>
      </c>
      <c r="D4" s="13" t="s">
        <v>21</v>
      </c>
      <c r="E4" s="14" t="s">
        <v>22</v>
      </c>
      <c r="F4" s="14" t="s">
        <v>23</v>
      </c>
      <c r="G4" s="15" t="s">
        <v>24</v>
      </c>
      <c r="H4" s="16" t="s">
        <v>25</v>
      </c>
      <c r="I4" s="16" t="s">
        <v>26</v>
      </c>
      <c r="J4" s="16" t="s">
        <v>27</v>
      </c>
      <c r="K4" s="16" t="s">
        <v>28</v>
      </c>
      <c r="L4" s="16" t="s">
        <v>29</v>
      </c>
      <c r="M4" s="15" t="s">
        <v>30</v>
      </c>
      <c r="N4" s="17" t="s">
        <v>31</v>
      </c>
      <c r="O4" s="15" t="s">
        <v>32</v>
      </c>
      <c r="P4" s="18" t="s">
        <v>33</v>
      </c>
      <c r="Q4" s="19" t="s">
        <v>34</v>
      </c>
      <c r="R4" s="20" t="s">
        <v>35</v>
      </c>
    </row>
    <row r="5" spans="1:18" ht="14.4" x14ac:dyDescent="0.55000000000000004">
      <c r="A5" s="21">
        <v>1</v>
      </c>
      <c r="B5" s="22" t="s">
        <v>36</v>
      </c>
      <c r="C5" s="22" t="s">
        <v>37</v>
      </c>
      <c r="D5" s="23">
        <v>27645</v>
      </c>
      <c r="E5" s="24">
        <v>1975</v>
      </c>
      <c r="F5" s="24">
        <f t="shared" ref="F5:F66" si="0">$G$2-E5</f>
        <v>45</v>
      </c>
      <c r="G5" s="25" t="s">
        <v>38</v>
      </c>
      <c r="H5" s="26" t="s">
        <v>39</v>
      </c>
      <c r="I5" s="26" t="s">
        <v>40</v>
      </c>
      <c r="J5" s="26" t="s">
        <v>41</v>
      </c>
      <c r="K5" s="26"/>
      <c r="L5" s="26"/>
      <c r="M5" s="25" t="s">
        <v>42</v>
      </c>
      <c r="N5" s="27"/>
      <c r="O5" s="25" t="s">
        <v>43</v>
      </c>
      <c r="P5" s="28"/>
      <c r="Q5" s="29"/>
      <c r="R5" s="30"/>
    </row>
    <row r="6" spans="1:18" ht="14.4" x14ac:dyDescent="0.55000000000000004">
      <c r="A6" s="21">
        <v>2</v>
      </c>
      <c r="B6" s="22" t="s">
        <v>36</v>
      </c>
      <c r="C6" s="22" t="s">
        <v>44</v>
      </c>
      <c r="D6" s="23">
        <v>36802</v>
      </c>
      <c r="E6" s="24">
        <v>2000</v>
      </c>
      <c r="F6" s="24">
        <f t="shared" si="0"/>
        <v>20</v>
      </c>
      <c r="G6" s="25" t="s">
        <v>38</v>
      </c>
      <c r="H6" s="26"/>
      <c r="I6" s="26"/>
      <c r="J6" s="26"/>
      <c r="K6" s="26"/>
      <c r="L6" s="26"/>
      <c r="M6" s="25"/>
      <c r="N6" s="27"/>
      <c r="O6" s="25"/>
      <c r="P6" s="28"/>
      <c r="Q6" s="29"/>
      <c r="R6" s="30"/>
    </row>
    <row r="7" spans="1:18" ht="14.4" x14ac:dyDescent="0.55000000000000004">
      <c r="A7" s="21">
        <v>3</v>
      </c>
      <c r="B7" s="22" t="s">
        <v>45</v>
      </c>
      <c r="C7" s="22" t="s">
        <v>46</v>
      </c>
      <c r="D7" s="31">
        <v>31647</v>
      </c>
      <c r="E7" s="32">
        <v>1986</v>
      </c>
      <c r="F7" s="32">
        <f t="shared" si="0"/>
        <v>34</v>
      </c>
      <c r="G7" s="27" t="s">
        <v>47</v>
      </c>
      <c r="H7" s="33" t="s">
        <v>48</v>
      </c>
      <c r="I7" s="33"/>
      <c r="J7" s="34">
        <v>99064180355</v>
      </c>
      <c r="K7" s="33" t="s">
        <v>49</v>
      </c>
      <c r="L7" s="33" t="s">
        <v>50</v>
      </c>
      <c r="M7" s="27" t="s">
        <v>51</v>
      </c>
      <c r="N7" s="27" t="s">
        <v>52</v>
      </c>
      <c r="O7" s="27" t="s">
        <v>53</v>
      </c>
      <c r="P7" s="35" t="s">
        <v>54</v>
      </c>
      <c r="Q7" s="36" t="s">
        <v>55</v>
      </c>
      <c r="R7" s="37" t="s">
        <v>56</v>
      </c>
    </row>
    <row r="8" spans="1:18" ht="12.75" customHeight="1" x14ac:dyDescent="0.55000000000000004">
      <c r="A8" s="21">
        <v>4</v>
      </c>
      <c r="B8" s="22" t="s">
        <v>57</v>
      </c>
      <c r="C8" s="22" t="s">
        <v>58</v>
      </c>
      <c r="D8" s="31">
        <v>36282</v>
      </c>
      <c r="E8" s="32">
        <v>1999</v>
      </c>
      <c r="F8" s="32">
        <f t="shared" si="0"/>
        <v>21</v>
      </c>
      <c r="G8" s="27" t="s">
        <v>59</v>
      </c>
      <c r="H8" s="33"/>
      <c r="I8" s="33"/>
      <c r="J8" s="34"/>
      <c r="K8" s="33"/>
      <c r="L8" s="33"/>
      <c r="M8" s="27"/>
      <c r="N8" s="27"/>
      <c r="O8" s="27"/>
      <c r="P8" s="35"/>
      <c r="Q8" s="36"/>
      <c r="R8" s="37"/>
    </row>
    <row r="9" spans="1:18" ht="14.4" x14ac:dyDescent="0.55000000000000004">
      <c r="A9" s="21">
        <v>5</v>
      </c>
      <c r="B9" s="22" t="s">
        <v>60</v>
      </c>
      <c r="C9" s="22" t="s">
        <v>61</v>
      </c>
      <c r="D9" s="31"/>
      <c r="E9" s="32"/>
      <c r="F9" s="32"/>
      <c r="G9" s="27" t="s">
        <v>62</v>
      </c>
      <c r="H9" s="33"/>
      <c r="I9" s="33"/>
      <c r="J9" s="34"/>
      <c r="K9" s="33"/>
      <c r="L9" s="33"/>
      <c r="M9" s="27"/>
      <c r="N9" s="27"/>
      <c r="O9" s="27"/>
      <c r="P9" s="35"/>
      <c r="Q9" s="36"/>
      <c r="R9" s="37"/>
    </row>
    <row r="10" spans="1:18" ht="14.4" x14ac:dyDescent="0.55000000000000004">
      <c r="A10" s="21">
        <v>6</v>
      </c>
      <c r="B10" s="22" t="s">
        <v>63</v>
      </c>
      <c r="C10" s="22" t="s">
        <v>64</v>
      </c>
      <c r="D10" s="31">
        <v>21868</v>
      </c>
      <c r="E10" s="32">
        <v>1959</v>
      </c>
      <c r="F10" s="32">
        <f t="shared" si="0"/>
        <v>61</v>
      </c>
      <c r="G10" s="27" t="s">
        <v>65</v>
      </c>
      <c r="H10" s="26" t="s">
        <v>66</v>
      </c>
      <c r="I10" s="26"/>
      <c r="J10" s="26" t="s">
        <v>67</v>
      </c>
      <c r="K10" s="26"/>
      <c r="L10" s="26"/>
      <c r="M10" s="25" t="s">
        <v>68</v>
      </c>
      <c r="N10" s="27" t="s">
        <v>52</v>
      </c>
      <c r="O10" s="27"/>
      <c r="P10" s="38" t="s">
        <v>69</v>
      </c>
      <c r="Q10" s="36" t="s">
        <v>70</v>
      </c>
      <c r="R10" s="30"/>
    </row>
    <row r="11" spans="1:18" ht="14.4" x14ac:dyDescent="0.55000000000000004">
      <c r="A11" s="21">
        <v>7</v>
      </c>
      <c r="B11" s="22" t="s">
        <v>71</v>
      </c>
      <c r="C11" s="22" t="s">
        <v>72</v>
      </c>
      <c r="D11" s="31">
        <v>21552</v>
      </c>
      <c r="E11" s="32">
        <v>1959</v>
      </c>
      <c r="F11" s="32">
        <f t="shared" si="0"/>
        <v>61</v>
      </c>
      <c r="G11" s="27" t="s">
        <v>73</v>
      </c>
      <c r="H11" s="26"/>
      <c r="I11" s="26"/>
      <c r="J11" s="26"/>
      <c r="K11" s="26"/>
      <c r="L11" s="26"/>
      <c r="M11" s="25"/>
      <c r="N11" s="27"/>
      <c r="O11" s="27"/>
      <c r="P11" s="38"/>
      <c r="Q11" s="36"/>
      <c r="R11" s="30"/>
    </row>
    <row r="12" spans="1:18" ht="14.4" x14ac:dyDescent="0.55000000000000004">
      <c r="A12" s="21">
        <v>8</v>
      </c>
      <c r="B12" s="39" t="s">
        <v>74</v>
      </c>
      <c r="C12" s="39" t="s">
        <v>75</v>
      </c>
      <c r="D12" s="40">
        <v>28599</v>
      </c>
      <c r="E12" s="41">
        <v>1987</v>
      </c>
      <c r="F12" s="41">
        <f t="shared" si="0"/>
        <v>33</v>
      </c>
      <c r="G12" s="42" t="s">
        <v>76</v>
      </c>
      <c r="H12" s="42"/>
      <c r="I12" s="26" t="s">
        <v>77</v>
      </c>
      <c r="J12" s="26"/>
      <c r="K12" s="26"/>
      <c r="L12" s="26"/>
      <c r="M12" s="25"/>
      <c r="N12" s="27"/>
      <c r="O12" s="27"/>
      <c r="P12" s="38"/>
      <c r="Q12" s="36"/>
      <c r="R12" s="30"/>
    </row>
    <row r="13" spans="1:18" ht="14.4" x14ac:dyDescent="0.55000000000000004">
      <c r="A13" s="21">
        <v>9</v>
      </c>
      <c r="B13" s="39" t="s">
        <v>74</v>
      </c>
      <c r="C13" s="39" t="s">
        <v>78</v>
      </c>
      <c r="D13" s="40">
        <v>30096</v>
      </c>
      <c r="E13" s="41">
        <v>1982</v>
      </c>
      <c r="F13" s="41">
        <f t="shared" si="0"/>
        <v>38</v>
      </c>
      <c r="G13" s="42" t="s">
        <v>76</v>
      </c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3"/>
    </row>
    <row r="14" spans="1:18" ht="14.4" x14ac:dyDescent="0.55000000000000004">
      <c r="A14" s="21">
        <v>10</v>
      </c>
      <c r="B14" s="39" t="s">
        <v>79</v>
      </c>
      <c r="C14" s="39" t="s">
        <v>80</v>
      </c>
      <c r="D14" s="40">
        <v>24473</v>
      </c>
      <c r="E14" s="41">
        <v>1967</v>
      </c>
      <c r="F14" s="41">
        <f t="shared" si="0"/>
        <v>53</v>
      </c>
      <c r="G14" s="42" t="s">
        <v>81</v>
      </c>
      <c r="H14" s="42">
        <v>977514471</v>
      </c>
      <c r="I14" s="42"/>
      <c r="J14" s="42"/>
      <c r="K14" s="42"/>
      <c r="L14" s="42"/>
      <c r="M14" s="42"/>
      <c r="N14" s="42"/>
      <c r="O14" s="42"/>
      <c r="P14" s="44"/>
      <c r="Q14" s="42"/>
      <c r="R14" s="43"/>
    </row>
    <row r="15" spans="1:18" ht="12" customHeight="1" x14ac:dyDescent="0.55000000000000004">
      <c r="A15" s="21">
        <v>11</v>
      </c>
      <c r="B15" s="39" t="s">
        <v>82</v>
      </c>
      <c r="C15" s="39" t="s">
        <v>83</v>
      </c>
      <c r="D15" s="40">
        <v>33091</v>
      </c>
      <c r="E15" s="41">
        <v>1990</v>
      </c>
      <c r="F15" s="41">
        <f t="shared" si="0"/>
        <v>30</v>
      </c>
      <c r="G15" s="42" t="s">
        <v>84</v>
      </c>
      <c r="H15" s="42"/>
      <c r="I15" s="42"/>
      <c r="J15" s="42"/>
      <c r="K15" s="42"/>
      <c r="L15" s="42"/>
      <c r="M15" s="42"/>
      <c r="N15" s="42"/>
      <c r="O15" s="42"/>
      <c r="P15" s="44"/>
      <c r="Q15" s="42"/>
      <c r="R15" s="43"/>
    </row>
    <row r="16" spans="1:18" ht="14.4" x14ac:dyDescent="0.55000000000000004">
      <c r="A16" s="21">
        <v>12</v>
      </c>
      <c r="B16" s="39" t="s">
        <v>85</v>
      </c>
      <c r="C16" s="39" t="s">
        <v>86</v>
      </c>
      <c r="D16" s="40">
        <v>31791</v>
      </c>
      <c r="E16" s="41">
        <v>1987</v>
      </c>
      <c r="F16" s="41">
        <f t="shared" si="0"/>
        <v>33</v>
      </c>
      <c r="G16" s="42" t="s">
        <v>87</v>
      </c>
      <c r="H16" s="42"/>
      <c r="I16" s="42"/>
      <c r="J16" s="42"/>
      <c r="K16" s="42"/>
      <c r="L16" s="42"/>
      <c r="M16" s="42"/>
      <c r="N16" s="42"/>
      <c r="O16" s="42"/>
      <c r="P16" s="44"/>
      <c r="Q16" s="42"/>
      <c r="R16" s="43"/>
    </row>
    <row r="17" spans="1:18" ht="15" customHeight="1" x14ac:dyDescent="0.55000000000000004">
      <c r="A17" s="21">
        <v>13</v>
      </c>
      <c r="B17" s="45" t="s">
        <v>88</v>
      </c>
      <c r="C17" s="45" t="s">
        <v>89</v>
      </c>
      <c r="D17" s="40">
        <v>22980</v>
      </c>
      <c r="E17" s="41">
        <v>1962</v>
      </c>
      <c r="F17" s="41">
        <f t="shared" si="0"/>
        <v>58</v>
      </c>
      <c r="G17" s="42" t="s">
        <v>90</v>
      </c>
      <c r="H17" s="42">
        <v>98682506</v>
      </c>
      <c r="I17" s="42" t="s">
        <v>91</v>
      </c>
      <c r="J17" s="42">
        <v>27686749514</v>
      </c>
      <c r="K17" s="42">
        <v>3011962390008</v>
      </c>
      <c r="L17" s="42" t="s">
        <v>92</v>
      </c>
      <c r="M17" s="42" t="s">
        <v>93</v>
      </c>
      <c r="N17" s="42"/>
      <c r="O17" s="42"/>
      <c r="P17" s="44"/>
      <c r="Q17" s="42"/>
      <c r="R17" s="43"/>
    </row>
    <row r="18" spans="1:18" ht="15" customHeight="1" x14ac:dyDescent="0.55000000000000004">
      <c r="A18" s="21">
        <v>14</v>
      </c>
      <c r="B18" s="46" t="s">
        <v>94</v>
      </c>
      <c r="C18" s="46" t="s">
        <v>95</v>
      </c>
      <c r="D18" s="31">
        <v>28367</v>
      </c>
      <c r="E18" s="32">
        <v>1977</v>
      </c>
      <c r="F18" s="32">
        <f t="shared" si="0"/>
        <v>43</v>
      </c>
      <c r="G18" s="27" t="s">
        <v>96</v>
      </c>
      <c r="H18" s="33" t="s">
        <v>97</v>
      </c>
      <c r="I18" s="33"/>
      <c r="J18" s="47" t="s">
        <v>98</v>
      </c>
      <c r="K18" s="33" t="s">
        <v>99</v>
      </c>
      <c r="L18" s="33" t="s">
        <v>100</v>
      </c>
      <c r="M18" s="27" t="s">
        <v>101</v>
      </c>
      <c r="N18" s="27" t="s">
        <v>102</v>
      </c>
      <c r="O18" s="48" t="s">
        <v>103</v>
      </c>
      <c r="P18" s="28" t="s">
        <v>104</v>
      </c>
      <c r="Q18" s="36" t="s">
        <v>70</v>
      </c>
      <c r="R18" s="30" t="s">
        <v>105</v>
      </c>
    </row>
    <row r="19" spans="1:18" ht="15" customHeight="1" x14ac:dyDescent="0.55000000000000004">
      <c r="A19" s="21">
        <v>15</v>
      </c>
      <c r="B19" s="46" t="s">
        <v>94</v>
      </c>
      <c r="C19" s="46" t="s">
        <v>106</v>
      </c>
      <c r="D19" s="31">
        <v>36360</v>
      </c>
      <c r="E19" s="32">
        <v>1999</v>
      </c>
      <c r="F19" s="32">
        <f t="shared" si="0"/>
        <v>21</v>
      </c>
      <c r="G19" s="27" t="s">
        <v>107</v>
      </c>
      <c r="H19" s="33"/>
      <c r="I19" s="28"/>
      <c r="J19" s="33"/>
      <c r="K19" s="49"/>
      <c r="L19" s="33"/>
      <c r="M19" s="27"/>
      <c r="N19" s="27"/>
      <c r="O19" s="48"/>
      <c r="P19" s="28"/>
      <c r="Q19" s="36"/>
      <c r="R19" s="30"/>
    </row>
    <row r="20" spans="1:18" ht="15.75" customHeight="1" x14ac:dyDescent="0.55000000000000004">
      <c r="A20" s="21">
        <v>16</v>
      </c>
      <c r="B20" s="46" t="s">
        <v>108</v>
      </c>
      <c r="C20" s="46" t="s">
        <v>109</v>
      </c>
      <c r="D20" s="31">
        <v>31928</v>
      </c>
      <c r="E20" s="32">
        <v>1987</v>
      </c>
      <c r="F20" s="32">
        <f t="shared" si="0"/>
        <v>33</v>
      </c>
      <c r="G20" s="27" t="s">
        <v>110</v>
      </c>
      <c r="H20" s="33"/>
      <c r="I20" s="28"/>
      <c r="J20" s="33"/>
      <c r="K20" s="49"/>
      <c r="L20" s="33"/>
      <c r="M20" s="27"/>
      <c r="N20" s="27"/>
      <c r="O20" s="48"/>
      <c r="P20" s="28"/>
      <c r="Q20" s="36"/>
      <c r="R20" s="30"/>
    </row>
    <row r="21" spans="1:18" ht="15.75" customHeight="1" x14ac:dyDescent="0.55000000000000004">
      <c r="A21" s="21">
        <v>17</v>
      </c>
      <c r="B21" s="22" t="s">
        <v>111</v>
      </c>
      <c r="C21" s="22" t="s">
        <v>112</v>
      </c>
      <c r="D21" s="23">
        <v>24628</v>
      </c>
      <c r="E21" s="24">
        <v>1967</v>
      </c>
      <c r="F21" s="24">
        <f t="shared" si="0"/>
        <v>53</v>
      </c>
      <c r="G21" s="25" t="s">
        <v>113</v>
      </c>
      <c r="H21" s="26" t="s">
        <v>114</v>
      </c>
      <c r="I21" s="26"/>
      <c r="J21" s="16" t="s">
        <v>115</v>
      </c>
      <c r="K21" s="26" t="s">
        <v>116</v>
      </c>
      <c r="L21" s="26" t="s">
        <v>117</v>
      </c>
      <c r="M21" s="25" t="s">
        <v>93</v>
      </c>
      <c r="N21" s="27"/>
      <c r="O21" s="15" t="s">
        <v>43</v>
      </c>
      <c r="P21" s="38"/>
      <c r="Q21" s="36" t="s">
        <v>70</v>
      </c>
      <c r="R21" s="30" t="s">
        <v>118</v>
      </c>
    </row>
    <row r="22" spans="1:18" ht="15.75" customHeight="1" x14ac:dyDescent="0.55000000000000004">
      <c r="A22" s="21">
        <v>18</v>
      </c>
      <c r="B22" s="22" t="s">
        <v>111</v>
      </c>
      <c r="C22" s="22" t="s">
        <v>119</v>
      </c>
      <c r="D22" s="23">
        <v>25573</v>
      </c>
      <c r="E22" s="24">
        <v>1970</v>
      </c>
      <c r="F22" s="24">
        <f t="shared" si="0"/>
        <v>50</v>
      </c>
      <c r="G22" s="25" t="s">
        <v>113</v>
      </c>
      <c r="H22" s="26" t="s">
        <v>114</v>
      </c>
      <c r="I22" s="50" t="s">
        <v>120</v>
      </c>
      <c r="J22" s="51">
        <v>72822883415</v>
      </c>
      <c r="K22" s="50"/>
      <c r="L22" s="52" t="s">
        <v>121</v>
      </c>
      <c r="M22" s="53" t="s">
        <v>93</v>
      </c>
      <c r="N22" s="27" t="s">
        <v>52</v>
      </c>
      <c r="O22" s="15" t="s">
        <v>43</v>
      </c>
      <c r="P22" s="38"/>
      <c r="Q22" s="36" t="s">
        <v>122</v>
      </c>
      <c r="R22" s="30" t="s">
        <v>123</v>
      </c>
    </row>
    <row r="23" spans="1:18" ht="16.5" customHeight="1" x14ac:dyDescent="0.55000000000000004">
      <c r="A23" s="21">
        <v>19</v>
      </c>
      <c r="B23" s="39" t="s">
        <v>124</v>
      </c>
      <c r="C23" s="39" t="s">
        <v>125</v>
      </c>
      <c r="D23" s="40">
        <v>36216</v>
      </c>
      <c r="E23" s="41">
        <v>1999</v>
      </c>
      <c r="F23" s="41">
        <f t="shared" si="0"/>
        <v>21</v>
      </c>
      <c r="G23" s="42" t="s">
        <v>126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3"/>
    </row>
    <row r="24" spans="1:18" ht="16.5" customHeight="1" x14ac:dyDescent="0.55000000000000004">
      <c r="A24" s="21">
        <v>20</v>
      </c>
      <c r="B24" s="22" t="s">
        <v>127</v>
      </c>
      <c r="C24" s="22" t="s">
        <v>128</v>
      </c>
      <c r="D24" s="23">
        <v>33442</v>
      </c>
      <c r="E24" s="24">
        <v>1991</v>
      </c>
      <c r="F24" s="24">
        <f t="shared" si="0"/>
        <v>29</v>
      </c>
      <c r="G24" s="25" t="s">
        <v>129</v>
      </c>
      <c r="H24" s="26" t="s">
        <v>130</v>
      </c>
      <c r="I24" s="26"/>
      <c r="J24" s="26" t="s">
        <v>131</v>
      </c>
      <c r="K24" s="26" t="s">
        <v>132</v>
      </c>
      <c r="L24" s="26" t="s">
        <v>133</v>
      </c>
      <c r="M24" s="25" t="s">
        <v>134</v>
      </c>
      <c r="N24" s="27"/>
      <c r="O24" s="54" t="s">
        <v>135</v>
      </c>
      <c r="P24" s="55" t="s">
        <v>136</v>
      </c>
      <c r="Q24" s="36" t="s">
        <v>70</v>
      </c>
      <c r="R24" s="30" t="s">
        <v>137</v>
      </c>
    </row>
    <row r="25" spans="1:18" ht="14.25" customHeight="1" x14ac:dyDescent="0.55000000000000004">
      <c r="A25" s="21">
        <v>21</v>
      </c>
      <c r="B25" s="22" t="s">
        <v>138</v>
      </c>
      <c r="C25" s="22" t="s">
        <v>139</v>
      </c>
      <c r="D25" s="23">
        <v>32066</v>
      </c>
      <c r="E25" s="24">
        <v>1987</v>
      </c>
      <c r="F25" s="24">
        <f t="shared" si="0"/>
        <v>33</v>
      </c>
      <c r="G25" s="25" t="s">
        <v>140</v>
      </c>
      <c r="H25" s="26"/>
      <c r="I25" s="26"/>
      <c r="J25" s="26"/>
      <c r="K25" s="26"/>
      <c r="L25" s="26"/>
      <c r="M25" s="25"/>
      <c r="N25" s="27"/>
      <c r="O25" s="54"/>
      <c r="P25" s="55"/>
      <c r="Q25" s="36"/>
      <c r="R25" s="30"/>
    </row>
    <row r="26" spans="1:18" ht="12.75" customHeight="1" x14ac:dyDescent="0.55000000000000004">
      <c r="A26" s="21">
        <v>22</v>
      </c>
      <c r="B26" s="22" t="s">
        <v>141</v>
      </c>
      <c r="C26" s="22" t="s">
        <v>142</v>
      </c>
      <c r="D26" s="23">
        <v>31292</v>
      </c>
      <c r="E26" s="24">
        <v>1985</v>
      </c>
      <c r="F26" s="24">
        <f t="shared" si="0"/>
        <v>35</v>
      </c>
      <c r="G26" s="25" t="s">
        <v>143</v>
      </c>
      <c r="H26" s="56" t="s">
        <v>144</v>
      </c>
      <c r="I26" s="16"/>
      <c r="J26" s="56" t="s">
        <v>145</v>
      </c>
      <c r="K26" s="16"/>
      <c r="L26" s="52" t="s">
        <v>146</v>
      </c>
      <c r="M26" s="15" t="s">
        <v>51</v>
      </c>
      <c r="N26" s="25" t="s">
        <v>52</v>
      </c>
      <c r="O26" s="54" t="s">
        <v>135</v>
      </c>
      <c r="P26" s="38" t="s">
        <v>147</v>
      </c>
      <c r="Q26" s="36" t="s">
        <v>70</v>
      </c>
      <c r="R26" s="30" t="s">
        <v>148</v>
      </c>
    </row>
    <row r="27" spans="1:18" ht="12" customHeight="1" x14ac:dyDescent="0.55000000000000004">
      <c r="A27" s="21">
        <v>23</v>
      </c>
      <c r="B27" s="22" t="s">
        <v>149</v>
      </c>
      <c r="C27" s="22" t="s">
        <v>150</v>
      </c>
      <c r="D27" s="23">
        <v>34013</v>
      </c>
      <c r="E27" s="24">
        <v>1993</v>
      </c>
      <c r="F27" s="24">
        <f t="shared" si="0"/>
        <v>27</v>
      </c>
      <c r="G27" s="25" t="s">
        <v>151</v>
      </c>
      <c r="H27" s="26" t="s">
        <v>152</v>
      </c>
      <c r="I27" s="26"/>
      <c r="J27" s="26" t="s">
        <v>153</v>
      </c>
      <c r="K27" s="57" t="s">
        <v>154</v>
      </c>
      <c r="L27" s="26" t="s">
        <v>155</v>
      </c>
      <c r="M27" s="25" t="s">
        <v>134</v>
      </c>
      <c r="N27" s="25" t="s">
        <v>52</v>
      </c>
      <c r="O27" s="58" t="s">
        <v>43</v>
      </c>
      <c r="P27" s="59" t="s">
        <v>156</v>
      </c>
      <c r="Q27" s="36" t="s">
        <v>157</v>
      </c>
      <c r="R27" s="30" t="s">
        <v>158</v>
      </c>
    </row>
    <row r="28" spans="1:18" ht="14.4" x14ac:dyDescent="0.55000000000000004">
      <c r="A28" s="21">
        <v>24</v>
      </c>
      <c r="B28" s="22" t="s">
        <v>149</v>
      </c>
      <c r="C28" s="22" t="s">
        <v>159</v>
      </c>
      <c r="D28" s="40">
        <v>22715</v>
      </c>
      <c r="E28" s="41">
        <v>1962</v>
      </c>
      <c r="F28" s="41">
        <f t="shared" si="0"/>
        <v>58</v>
      </c>
      <c r="G28" s="42"/>
      <c r="H28" s="42"/>
      <c r="I28" s="42"/>
      <c r="J28" s="42"/>
      <c r="K28" s="42"/>
      <c r="L28" s="42"/>
      <c r="M28" s="42"/>
      <c r="N28" s="42"/>
      <c r="O28" s="42"/>
      <c r="P28" s="44"/>
      <c r="Q28" s="42"/>
      <c r="R28" s="43"/>
    </row>
    <row r="29" spans="1:18" ht="12.75" customHeight="1" x14ac:dyDescent="0.55000000000000004">
      <c r="A29" s="21">
        <v>25</v>
      </c>
      <c r="B29" s="39" t="s">
        <v>160</v>
      </c>
      <c r="C29" s="39" t="s">
        <v>161</v>
      </c>
      <c r="D29" s="40">
        <v>35495</v>
      </c>
      <c r="E29" s="41">
        <v>1997</v>
      </c>
      <c r="F29" s="41">
        <f t="shared" si="0"/>
        <v>23</v>
      </c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3"/>
    </row>
    <row r="30" spans="1:18" ht="14.4" x14ac:dyDescent="0.55000000000000004">
      <c r="A30" s="21">
        <v>26</v>
      </c>
      <c r="B30" s="22" t="s">
        <v>162</v>
      </c>
      <c r="C30" s="22" t="s">
        <v>163</v>
      </c>
      <c r="D30" s="23">
        <v>26978</v>
      </c>
      <c r="E30" s="24">
        <v>1973</v>
      </c>
      <c r="F30" s="24">
        <f t="shared" si="0"/>
        <v>47</v>
      </c>
      <c r="G30" s="25" t="s">
        <v>164</v>
      </c>
      <c r="H30" s="57" t="s">
        <v>165</v>
      </c>
      <c r="I30" s="26"/>
      <c r="J30" s="60">
        <v>67012378246</v>
      </c>
      <c r="K30" s="26"/>
      <c r="L30" s="26" t="s">
        <v>166</v>
      </c>
      <c r="M30" s="25" t="s">
        <v>93</v>
      </c>
      <c r="N30" s="25" t="s">
        <v>52</v>
      </c>
      <c r="O30" s="25"/>
      <c r="P30" s="26"/>
      <c r="Q30" s="36" t="s">
        <v>122</v>
      </c>
      <c r="R30" s="30" t="s">
        <v>167</v>
      </c>
    </row>
    <row r="31" spans="1:18" ht="14.4" x14ac:dyDescent="0.55000000000000004">
      <c r="A31" s="21">
        <v>27</v>
      </c>
      <c r="B31" s="22" t="s">
        <v>162</v>
      </c>
      <c r="C31" s="22" t="s">
        <v>168</v>
      </c>
      <c r="D31" s="23">
        <v>22186</v>
      </c>
      <c r="E31" s="24">
        <v>1960</v>
      </c>
      <c r="F31" s="24">
        <f t="shared" si="0"/>
        <v>60</v>
      </c>
      <c r="G31" s="25" t="s">
        <v>164</v>
      </c>
      <c r="H31" s="26" t="s">
        <v>169</v>
      </c>
      <c r="I31" s="26"/>
      <c r="J31" s="26"/>
      <c r="K31" s="26"/>
      <c r="L31" s="26"/>
      <c r="M31" s="25" t="s">
        <v>93</v>
      </c>
      <c r="N31" s="25" t="s">
        <v>52</v>
      </c>
      <c r="O31" s="25"/>
      <c r="P31" s="33"/>
      <c r="Q31" s="36" t="s">
        <v>70</v>
      </c>
      <c r="R31" s="30"/>
    </row>
    <row r="32" spans="1:18" ht="14.4" x14ac:dyDescent="0.55000000000000004">
      <c r="A32" s="21">
        <v>28</v>
      </c>
      <c r="B32" s="22" t="s">
        <v>162</v>
      </c>
      <c r="C32" s="22" t="s">
        <v>170</v>
      </c>
      <c r="D32" s="23">
        <v>35556</v>
      </c>
      <c r="E32" s="24">
        <v>1997</v>
      </c>
      <c r="F32" s="24">
        <f t="shared" si="0"/>
        <v>23</v>
      </c>
      <c r="G32" s="25" t="s">
        <v>164</v>
      </c>
      <c r="H32" s="26" t="s">
        <v>171</v>
      </c>
      <c r="I32" s="26"/>
      <c r="J32" s="26" t="s">
        <v>172</v>
      </c>
      <c r="K32" s="26" t="s">
        <v>173</v>
      </c>
      <c r="L32" s="26" t="s">
        <v>174</v>
      </c>
      <c r="M32" s="25" t="s">
        <v>175</v>
      </c>
      <c r="N32" s="25"/>
      <c r="O32" s="25"/>
      <c r="P32" s="33"/>
      <c r="Q32" s="36" t="s">
        <v>122</v>
      </c>
      <c r="R32" s="30" t="s">
        <v>176</v>
      </c>
    </row>
    <row r="33" spans="1:18" ht="14.4" x14ac:dyDescent="0.55000000000000004">
      <c r="A33" s="21">
        <v>29</v>
      </c>
      <c r="B33" s="22" t="s">
        <v>162</v>
      </c>
      <c r="C33" s="22" t="s">
        <v>161</v>
      </c>
      <c r="D33" s="23">
        <v>36329</v>
      </c>
      <c r="E33" s="24">
        <v>1999</v>
      </c>
      <c r="F33" s="24">
        <f t="shared" si="0"/>
        <v>21</v>
      </c>
      <c r="G33" s="25" t="s">
        <v>177</v>
      </c>
      <c r="H33" s="26"/>
      <c r="I33" s="26"/>
      <c r="J33" s="26"/>
      <c r="K33" s="26"/>
      <c r="L33" s="26"/>
      <c r="M33" s="25"/>
      <c r="N33" s="25"/>
      <c r="O33" s="25"/>
      <c r="P33" s="33"/>
      <c r="Q33" s="36"/>
      <c r="R33" s="30"/>
    </row>
    <row r="34" spans="1:18" ht="14.4" x14ac:dyDescent="0.55000000000000004">
      <c r="A34" s="21">
        <v>30</v>
      </c>
      <c r="B34" s="39" t="s">
        <v>178</v>
      </c>
      <c r="C34" s="39" t="s">
        <v>179</v>
      </c>
      <c r="D34" s="40">
        <v>33604</v>
      </c>
      <c r="E34" s="41">
        <v>1992</v>
      </c>
      <c r="F34" s="41">
        <f t="shared" si="0"/>
        <v>28</v>
      </c>
      <c r="G34" s="42"/>
      <c r="H34" s="42"/>
      <c r="I34" s="42"/>
      <c r="J34" s="42"/>
      <c r="K34" s="42"/>
      <c r="L34" s="42"/>
      <c r="M34" s="42"/>
      <c r="N34" s="42"/>
      <c r="O34" s="42"/>
      <c r="P34" s="44"/>
      <c r="Q34" s="42"/>
      <c r="R34" s="43"/>
    </row>
    <row r="35" spans="1:18" ht="14.4" x14ac:dyDescent="0.55000000000000004">
      <c r="A35" s="21">
        <v>31</v>
      </c>
      <c r="B35" s="22" t="s">
        <v>180</v>
      </c>
      <c r="C35" s="22" t="s">
        <v>181</v>
      </c>
      <c r="D35" s="40">
        <v>29759</v>
      </c>
      <c r="E35" s="41">
        <v>1981</v>
      </c>
      <c r="F35" s="41">
        <f t="shared" si="0"/>
        <v>39</v>
      </c>
      <c r="G35" s="42" t="s">
        <v>182</v>
      </c>
      <c r="H35" s="42">
        <v>958235666</v>
      </c>
      <c r="I35" s="42" t="s">
        <v>183</v>
      </c>
      <c r="J35" s="42">
        <v>26377750929</v>
      </c>
      <c r="K35" s="42"/>
      <c r="L35" s="42" t="s">
        <v>184</v>
      </c>
      <c r="M35" s="42" t="s">
        <v>93</v>
      </c>
      <c r="N35" s="42"/>
      <c r="O35" s="42" t="s">
        <v>185</v>
      </c>
      <c r="P35" s="44"/>
      <c r="Q35" s="42"/>
      <c r="R35" s="43"/>
    </row>
    <row r="36" spans="1:18" ht="14.4" x14ac:dyDescent="0.55000000000000004">
      <c r="A36" s="21">
        <v>32</v>
      </c>
      <c r="B36" s="39" t="s">
        <v>186</v>
      </c>
      <c r="C36" s="39" t="s">
        <v>112</v>
      </c>
      <c r="D36" s="40">
        <v>33131</v>
      </c>
      <c r="E36" s="41">
        <v>1990</v>
      </c>
      <c r="F36" s="41">
        <f t="shared" si="0"/>
        <v>30</v>
      </c>
      <c r="G36" s="42" t="s">
        <v>187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3"/>
    </row>
    <row r="37" spans="1:18" ht="14.4" x14ac:dyDescent="0.55000000000000004">
      <c r="A37" s="21">
        <v>33</v>
      </c>
      <c r="B37" s="39" t="s">
        <v>188</v>
      </c>
      <c r="C37" s="39" t="s">
        <v>142</v>
      </c>
      <c r="D37" s="40">
        <v>29928</v>
      </c>
      <c r="E37" s="41">
        <v>1981</v>
      </c>
      <c r="F37" s="41">
        <f t="shared" si="0"/>
        <v>39</v>
      </c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3"/>
    </row>
    <row r="38" spans="1:18" ht="14.4" x14ac:dyDescent="0.55000000000000004">
      <c r="A38" s="21">
        <v>34</v>
      </c>
      <c r="B38" s="39" t="s">
        <v>189</v>
      </c>
      <c r="C38" s="39" t="s">
        <v>190</v>
      </c>
      <c r="D38" s="40">
        <v>36425</v>
      </c>
      <c r="E38" s="41">
        <v>1999</v>
      </c>
      <c r="F38" s="41">
        <f t="shared" si="0"/>
        <v>21</v>
      </c>
      <c r="G38" s="42" t="s">
        <v>191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3"/>
    </row>
    <row r="39" spans="1:18" ht="14.4" x14ac:dyDescent="0.55000000000000004">
      <c r="A39" s="21">
        <v>35</v>
      </c>
      <c r="B39" s="22" t="s">
        <v>189</v>
      </c>
      <c r="C39" s="22" t="s">
        <v>192</v>
      </c>
      <c r="D39" s="40">
        <v>32888</v>
      </c>
      <c r="E39" s="41">
        <v>1990</v>
      </c>
      <c r="F39" s="41">
        <f t="shared" si="0"/>
        <v>30</v>
      </c>
      <c r="G39" s="42" t="s">
        <v>193</v>
      </c>
      <c r="H39" s="42"/>
      <c r="I39" s="42"/>
      <c r="J39" s="42"/>
      <c r="K39" s="42"/>
      <c r="L39" s="42"/>
      <c r="M39" s="42"/>
      <c r="N39" s="42"/>
      <c r="O39" s="42"/>
      <c r="P39" s="44"/>
      <c r="Q39" s="42"/>
      <c r="R39" s="43"/>
    </row>
    <row r="40" spans="1:18" ht="14.4" x14ac:dyDescent="0.55000000000000004">
      <c r="A40" s="21">
        <v>36</v>
      </c>
      <c r="B40" s="22" t="s">
        <v>189</v>
      </c>
      <c r="C40" s="22" t="s">
        <v>194</v>
      </c>
      <c r="D40" s="40">
        <v>35695</v>
      </c>
      <c r="E40" s="41">
        <v>1997</v>
      </c>
      <c r="F40" s="41">
        <f t="shared" si="0"/>
        <v>23</v>
      </c>
      <c r="G40" s="42" t="s">
        <v>193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3"/>
    </row>
    <row r="41" spans="1:18" ht="16.5" customHeight="1" x14ac:dyDescent="0.55000000000000004">
      <c r="A41" s="21">
        <v>37</v>
      </c>
      <c r="B41" s="22" t="s">
        <v>189</v>
      </c>
      <c r="C41" s="22" t="s">
        <v>195</v>
      </c>
      <c r="D41" s="40">
        <v>35330</v>
      </c>
      <c r="E41" s="41">
        <v>1996</v>
      </c>
      <c r="F41" s="41">
        <f t="shared" si="0"/>
        <v>24</v>
      </c>
      <c r="G41" s="42" t="s">
        <v>191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3"/>
    </row>
    <row r="42" spans="1:18" ht="14.4" x14ac:dyDescent="0.55000000000000004">
      <c r="A42" s="21">
        <v>38</v>
      </c>
      <c r="B42" s="22" t="s">
        <v>196</v>
      </c>
      <c r="C42" s="22" t="s">
        <v>58</v>
      </c>
      <c r="D42" s="61">
        <v>33803</v>
      </c>
      <c r="E42" s="62">
        <v>1992</v>
      </c>
      <c r="F42" s="62">
        <f t="shared" si="0"/>
        <v>28</v>
      </c>
      <c r="G42" s="27" t="s">
        <v>197</v>
      </c>
      <c r="H42" s="33" t="s">
        <v>198</v>
      </c>
      <c r="I42" s="33"/>
      <c r="J42" s="33" t="s">
        <v>199</v>
      </c>
      <c r="K42" s="33" t="s">
        <v>200</v>
      </c>
      <c r="L42" s="33" t="s">
        <v>201</v>
      </c>
      <c r="M42" s="27" t="s">
        <v>93</v>
      </c>
      <c r="N42" s="27" t="s">
        <v>52</v>
      </c>
      <c r="O42" s="60" t="s">
        <v>43</v>
      </c>
      <c r="P42" s="55" t="s">
        <v>202</v>
      </c>
      <c r="Q42" s="36" t="s">
        <v>157</v>
      </c>
      <c r="R42" s="30" t="s">
        <v>203</v>
      </c>
    </row>
    <row r="43" spans="1:18" ht="14.25" customHeight="1" x14ac:dyDescent="0.55000000000000004">
      <c r="A43" s="21">
        <v>39</v>
      </c>
      <c r="B43" s="22" t="s">
        <v>204</v>
      </c>
      <c r="C43" s="22" t="s">
        <v>205</v>
      </c>
      <c r="D43" s="61">
        <v>33567</v>
      </c>
      <c r="E43" s="62">
        <v>1991</v>
      </c>
      <c r="F43" s="62">
        <f t="shared" si="0"/>
        <v>29</v>
      </c>
      <c r="G43" s="25" t="s">
        <v>206</v>
      </c>
      <c r="H43" s="33" t="s">
        <v>207</v>
      </c>
      <c r="I43" s="33"/>
      <c r="J43" s="33" t="s">
        <v>208</v>
      </c>
      <c r="K43" s="33" t="s">
        <v>209</v>
      </c>
      <c r="L43" s="26" t="s">
        <v>210</v>
      </c>
      <c r="M43" s="27" t="s">
        <v>93</v>
      </c>
      <c r="N43" s="27" t="s">
        <v>52</v>
      </c>
      <c r="O43" s="63"/>
      <c r="P43" s="28"/>
      <c r="Q43" s="36"/>
      <c r="R43" s="30" t="s">
        <v>211</v>
      </c>
    </row>
    <row r="44" spans="1:18" ht="15.75" customHeight="1" x14ac:dyDescent="0.55000000000000004">
      <c r="A44" s="21">
        <v>40</v>
      </c>
      <c r="B44" s="22" t="s">
        <v>204</v>
      </c>
      <c r="C44" s="22" t="s">
        <v>212</v>
      </c>
      <c r="D44" s="23">
        <v>34247</v>
      </c>
      <c r="E44" s="24">
        <v>1993</v>
      </c>
      <c r="F44" s="24">
        <f t="shared" si="0"/>
        <v>27</v>
      </c>
      <c r="G44" s="25" t="s">
        <v>206</v>
      </c>
      <c r="H44" s="26" t="s">
        <v>213</v>
      </c>
      <c r="I44" s="26"/>
      <c r="J44" s="26" t="s">
        <v>214</v>
      </c>
      <c r="K44" s="26" t="s">
        <v>215</v>
      </c>
      <c r="L44" s="26" t="s">
        <v>210</v>
      </c>
      <c r="M44" s="25" t="s">
        <v>93</v>
      </c>
      <c r="N44" s="27" t="s">
        <v>52</v>
      </c>
      <c r="O44" s="54" t="s">
        <v>135</v>
      </c>
      <c r="P44" s="28"/>
      <c r="Q44" s="36" t="s">
        <v>70</v>
      </c>
      <c r="R44" s="30" t="s">
        <v>216</v>
      </c>
    </row>
    <row r="45" spans="1:18" ht="14.4" x14ac:dyDescent="0.55000000000000004">
      <c r="A45" s="21">
        <v>41</v>
      </c>
      <c r="B45" s="22" t="s">
        <v>204</v>
      </c>
      <c r="C45" s="22" t="s">
        <v>217</v>
      </c>
      <c r="D45" s="40">
        <v>21916</v>
      </c>
      <c r="E45" s="41">
        <v>1960</v>
      </c>
      <c r="F45" s="41">
        <f t="shared" si="0"/>
        <v>60</v>
      </c>
      <c r="G45" s="42" t="s">
        <v>218</v>
      </c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3"/>
    </row>
    <row r="46" spans="1:18" ht="14.4" x14ac:dyDescent="0.55000000000000004">
      <c r="A46" s="21">
        <v>42</v>
      </c>
      <c r="B46" s="25" t="s">
        <v>219</v>
      </c>
      <c r="C46" s="25" t="s">
        <v>220</v>
      </c>
      <c r="D46" s="23">
        <v>35634</v>
      </c>
      <c r="E46" s="24">
        <v>1997</v>
      </c>
      <c r="F46" s="24">
        <f t="shared" si="0"/>
        <v>23</v>
      </c>
      <c r="G46" s="25" t="s">
        <v>221</v>
      </c>
      <c r="H46" s="26" t="s">
        <v>222</v>
      </c>
      <c r="I46" s="26"/>
      <c r="J46" s="26"/>
      <c r="K46" s="26"/>
      <c r="L46" s="26"/>
      <c r="M46" s="25"/>
      <c r="N46" s="27"/>
      <c r="O46" s="25"/>
      <c r="P46" s="33"/>
      <c r="Q46" s="36"/>
      <c r="R46" s="30"/>
    </row>
    <row r="47" spans="1:18" ht="14.4" x14ac:dyDescent="0.55000000000000004">
      <c r="A47" s="21">
        <v>43</v>
      </c>
      <c r="B47" s="22" t="s">
        <v>219</v>
      </c>
      <c r="C47" s="22" t="s">
        <v>168</v>
      </c>
      <c r="D47" s="40">
        <v>21995</v>
      </c>
      <c r="E47" s="41">
        <v>1960</v>
      </c>
      <c r="F47" s="41">
        <f t="shared" si="0"/>
        <v>60</v>
      </c>
      <c r="G47" s="42" t="s">
        <v>223</v>
      </c>
      <c r="H47" s="42"/>
      <c r="I47" s="42" t="s">
        <v>224</v>
      </c>
      <c r="J47" s="42"/>
      <c r="K47" s="42"/>
      <c r="L47" s="42"/>
      <c r="M47" s="42"/>
      <c r="N47" s="42"/>
      <c r="O47" s="42"/>
      <c r="P47" s="44"/>
      <c r="Q47" s="42"/>
      <c r="R47" s="43"/>
    </row>
    <row r="48" spans="1:18" ht="14.4" x14ac:dyDescent="0.55000000000000004">
      <c r="A48" s="21">
        <v>44</v>
      </c>
      <c r="B48" s="22" t="s">
        <v>225</v>
      </c>
      <c r="C48" s="22" t="s">
        <v>226</v>
      </c>
      <c r="D48" s="40">
        <v>28491</v>
      </c>
      <c r="E48" s="41">
        <v>1978</v>
      </c>
      <c r="F48" s="41">
        <f t="shared" si="0"/>
        <v>42</v>
      </c>
      <c r="G48" s="42" t="s">
        <v>227</v>
      </c>
      <c r="H48" s="42"/>
      <c r="I48" s="42"/>
      <c r="J48" s="42"/>
      <c r="K48" s="42"/>
      <c r="L48" s="42"/>
      <c r="M48" s="42"/>
      <c r="N48" s="42"/>
      <c r="O48" s="42"/>
      <c r="P48" s="44"/>
      <c r="Q48" s="42"/>
      <c r="R48" s="43"/>
    </row>
    <row r="49" spans="1:18" ht="14.4" x14ac:dyDescent="0.55000000000000004">
      <c r="A49" s="21">
        <v>45</v>
      </c>
      <c r="B49" s="22" t="s">
        <v>225</v>
      </c>
      <c r="C49" s="22" t="s">
        <v>228</v>
      </c>
      <c r="D49" s="40">
        <v>27395</v>
      </c>
      <c r="E49" s="41">
        <v>1975</v>
      </c>
      <c r="F49" s="41">
        <f t="shared" si="0"/>
        <v>45</v>
      </c>
      <c r="G49" s="42" t="s">
        <v>227</v>
      </c>
      <c r="H49" s="42"/>
      <c r="I49" s="42"/>
      <c r="J49" s="42"/>
      <c r="K49" s="42"/>
      <c r="L49" s="42"/>
      <c r="M49" s="42"/>
      <c r="N49" s="42"/>
      <c r="O49" s="42"/>
      <c r="P49" s="44"/>
      <c r="Q49" s="42"/>
      <c r="R49" s="43"/>
    </row>
    <row r="50" spans="1:18" ht="14.4" x14ac:dyDescent="0.55000000000000004">
      <c r="A50" s="21">
        <v>46</v>
      </c>
      <c r="B50" s="39" t="s">
        <v>229</v>
      </c>
      <c r="C50" s="39" t="s">
        <v>230</v>
      </c>
      <c r="D50" s="40">
        <v>15189</v>
      </c>
      <c r="E50" s="41">
        <v>1941</v>
      </c>
      <c r="F50" s="41">
        <f t="shared" si="0"/>
        <v>79</v>
      </c>
      <c r="G50" s="42" t="s">
        <v>231</v>
      </c>
      <c r="H50" s="42"/>
      <c r="I50" s="42"/>
      <c r="J50" s="42"/>
      <c r="K50" s="42"/>
      <c r="L50" s="42"/>
      <c r="M50" s="42"/>
      <c r="N50" s="42"/>
      <c r="O50" s="42"/>
      <c r="P50" s="44"/>
      <c r="Q50" s="42"/>
      <c r="R50" s="43"/>
    </row>
    <row r="51" spans="1:18" ht="15.75" customHeight="1" x14ac:dyDescent="0.55000000000000004">
      <c r="A51" s="21">
        <v>47</v>
      </c>
      <c r="B51" s="22" t="s">
        <v>232</v>
      </c>
      <c r="C51" s="22" t="s">
        <v>233</v>
      </c>
      <c r="D51" s="23">
        <v>31064</v>
      </c>
      <c r="E51" s="24">
        <v>1985</v>
      </c>
      <c r="F51" s="24">
        <f t="shared" si="0"/>
        <v>35</v>
      </c>
      <c r="G51" s="25" t="s">
        <v>234</v>
      </c>
      <c r="H51" s="26" t="s">
        <v>235</v>
      </c>
      <c r="I51" s="26" t="s">
        <v>236</v>
      </c>
      <c r="J51" s="26" t="s">
        <v>237</v>
      </c>
      <c r="K51" s="26" t="s">
        <v>238</v>
      </c>
      <c r="L51" s="26" t="s">
        <v>239</v>
      </c>
      <c r="M51" s="25" t="s">
        <v>93</v>
      </c>
      <c r="N51" s="25" t="s">
        <v>52</v>
      </c>
      <c r="O51" s="27" t="s">
        <v>43</v>
      </c>
      <c r="P51" s="33"/>
      <c r="Q51" s="36"/>
      <c r="R51" s="30"/>
    </row>
    <row r="52" spans="1:18" ht="15.75" customHeight="1" x14ac:dyDescent="0.55000000000000004">
      <c r="A52" s="21">
        <v>48</v>
      </c>
      <c r="B52" s="64" t="s">
        <v>240</v>
      </c>
      <c r="C52" s="64" t="s">
        <v>241</v>
      </c>
      <c r="D52" s="65">
        <v>34263</v>
      </c>
      <c r="E52" s="66">
        <v>1993</v>
      </c>
      <c r="F52" s="66">
        <f t="shared" si="0"/>
        <v>27</v>
      </c>
      <c r="G52" s="53" t="s">
        <v>242</v>
      </c>
      <c r="H52" s="50" t="s">
        <v>243</v>
      </c>
      <c r="I52" s="50"/>
      <c r="J52" s="50" t="s">
        <v>244</v>
      </c>
      <c r="K52" s="67" t="s">
        <v>245</v>
      </c>
      <c r="L52" s="50" t="s">
        <v>246</v>
      </c>
      <c r="M52" s="68" t="s">
        <v>93</v>
      </c>
      <c r="N52" s="68" t="s">
        <v>52</v>
      </c>
      <c r="O52" s="69" t="s">
        <v>135</v>
      </c>
      <c r="P52" s="70" t="s">
        <v>247</v>
      </c>
      <c r="Q52" s="71" t="s">
        <v>70</v>
      </c>
      <c r="R52" s="72" t="s">
        <v>248</v>
      </c>
    </row>
    <row r="53" spans="1:18" ht="14.4" x14ac:dyDescent="0.55000000000000004">
      <c r="A53" s="21">
        <v>49</v>
      </c>
      <c r="B53" s="39" t="s">
        <v>249</v>
      </c>
      <c r="C53" s="39" t="s">
        <v>250</v>
      </c>
      <c r="D53" s="40">
        <v>34104</v>
      </c>
      <c r="E53" s="41">
        <v>1993</v>
      </c>
      <c r="F53" s="41">
        <f t="shared" si="0"/>
        <v>27</v>
      </c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3"/>
    </row>
    <row r="54" spans="1:18" ht="14.4" x14ac:dyDescent="0.55000000000000004">
      <c r="A54" s="21">
        <v>50</v>
      </c>
      <c r="B54" s="39" t="s">
        <v>251</v>
      </c>
      <c r="C54" s="39" t="s">
        <v>252</v>
      </c>
      <c r="D54" s="40">
        <v>35839</v>
      </c>
      <c r="E54" s="41">
        <v>1998</v>
      </c>
      <c r="F54" s="41">
        <f t="shared" si="0"/>
        <v>22</v>
      </c>
      <c r="G54" s="42" t="s">
        <v>253</v>
      </c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3"/>
    </row>
    <row r="55" spans="1:18" ht="14.4" x14ac:dyDescent="0.55000000000000004">
      <c r="A55" s="21">
        <v>51</v>
      </c>
      <c r="B55" s="39" t="s">
        <v>254</v>
      </c>
      <c r="C55" s="39" t="s">
        <v>150</v>
      </c>
      <c r="D55" s="40">
        <v>33383</v>
      </c>
      <c r="E55" s="41">
        <v>1991</v>
      </c>
      <c r="F55" s="41">
        <f t="shared" si="0"/>
        <v>29</v>
      </c>
      <c r="G55" s="42" t="s">
        <v>253</v>
      </c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3"/>
    </row>
    <row r="56" spans="1:18" ht="14.4" x14ac:dyDescent="0.55000000000000004">
      <c r="A56" s="21">
        <v>52</v>
      </c>
      <c r="B56" s="39" t="s">
        <v>254</v>
      </c>
      <c r="C56" s="39" t="s">
        <v>44</v>
      </c>
      <c r="D56" s="40">
        <v>35830</v>
      </c>
      <c r="E56" s="41">
        <v>1998</v>
      </c>
      <c r="F56" s="41">
        <f t="shared" si="0"/>
        <v>22</v>
      </c>
      <c r="G56" s="42" t="s">
        <v>253</v>
      </c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3"/>
    </row>
    <row r="57" spans="1:18" ht="14.4" x14ac:dyDescent="0.55000000000000004">
      <c r="A57" s="21">
        <v>53</v>
      </c>
      <c r="B57" s="39" t="s">
        <v>255</v>
      </c>
      <c r="C57" s="39" t="s">
        <v>256</v>
      </c>
      <c r="D57" s="40"/>
      <c r="E57" s="41">
        <v>2000</v>
      </c>
      <c r="F57" s="41">
        <f>$G$2-E57</f>
        <v>20</v>
      </c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3"/>
    </row>
    <row r="58" spans="1:18" ht="12.75" customHeight="1" x14ac:dyDescent="0.55000000000000004">
      <c r="A58" s="21">
        <v>54</v>
      </c>
      <c r="B58" s="39" t="s">
        <v>257</v>
      </c>
      <c r="C58" s="39" t="s">
        <v>258</v>
      </c>
      <c r="D58" s="40">
        <v>35768</v>
      </c>
      <c r="E58" s="41">
        <v>1997</v>
      </c>
      <c r="F58" s="41">
        <f t="shared" si="0"/>
        <v>23</v>
      </c>
      <c r="G58" s="42" t="s">
        <v>253</v>
      </c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3"/>
    </row>
    <row r="59" spans="1:18" ht="14.4" x14ac:dyDescent="0.55000000000000004">
      <c r="A59" s="21">
        <v>54</v>
      </c>
      <c r="B59" s="22" t="s">
        <v>259</v>
      </c>
      <c r="C59" s="22" t="s">
        <v>260</v>
      </c>
      <c r="D59" s="23" t="s">
        <v>261</v>
      </c>
      <c r="E59" s="24">
        <v>1961</v>
      </c>
      <c r="F59" s="24">
        <f t="shared" si="0"/>
        <v>59</v>
      </c>
      <c r="G59" s="25" t="s">
        <v>262</v>
      </c>
      <c r="H59" s="26" t="s">
        <v>263</v>
      </c>
      <c r="I59" s="26"/>
      <c r="J59" s="26"/>
      <c r="K59" s="26"/>
      <c r="L59" s="26"/>
      <c r="M59" s="25" t="s">
        <v>93</v>
      </c>
      <c r="N59" s="25" t="s">
        <v>52</v>
      </c>
      <c r="O59" s="25"/>
      <c r="P59" s="33"/>
      <c r="Q59" s="36" t="s">
        <v>70</v>
      </c>
      <c r="R59" s="30"/>
    </row>
    <row r="60" spans="1:18" ht="14.4" x14ac:dyDescent="0.55000000000000004">
      <c r="A60" s="21">
        <v>55</v>
      </c>
      <c r="B60" s="39" t="s">
        <v>264</v>
      </c>
      <c r="C60" s="39" t="s">
        <v>265</v>
      </c>
      <c r="D60" s="40">
        <v>31109</v>
      </c>
      <c r="E60" s="41">
        <v>1985</v>
      </c>
      <c r="F60" s="41">
        <f t="shared" si="0"/>
        <v>35</v>
      </c>
      <c r="G60" s="42" t="s">
        <v>266</v>
      </c>
      <c r="H60" s="42">
        <v>98506361</v>
      </c>
      <c r="I60" s="42"/>
      <c r="J60" s="42"/>
      <c r="K60" s="42"/>
      <c r="L60" s="42" t="s">
        <v>267</v>
      </c>
      <c r="M60" s="42" t="s">
        <v>93</v>
      </c>
      <c r="N60" s="42" t="s">
        <v>52</v>
      </c>
      <c r="O60" s="42"/>
      <c r="P60" s="42"/>
      <c r="Q60" s="42"/>
      <c r="R60" s="43"/>
    </row>
    <row r="61" spans="1:18" ht="13.5" customHeight="1" x14ac:dyDescent="0.55000000000000004">
      <c r="A61" s="21">
        <v>55</v>
      </c>
      <c r="B61" s="39" t="s">
        <v>268</v>
      </c>
      <c r="C61" s="39" t="s">
        <v>269</v>
      </c>
      <c r="D61" s="40">
        <v>30940</v>
      </c>
      <c r="E61" s="41">
        <v>1984</v>
      </c>
      <c r="F61" s="41">
        <f t="shared" si="0"/>
        <v>36</v>
      </c>
      <c r="G61" s="42" t="s">
        <v>270</v>
      </c>
      <c r="H61" s="42">
        <v>953996265</v>
      </c>
      <c r="I61" s="42"/>
      <c r="J61" s="42"/>
      <c r="K61" s="42"/>
      <c r="L61" s="42" t="s">
        <v>271</v>
      </c>
      <c r="M61" s="42" t="s">
        <v>93</v>
      </c>
      <c r="N61" s="42" t="s">
        <v>52</v>
      </c>
      <c r="O61" s="42" t="s">
        <v>135</v>
      </c>
      <c r="P61" s="42"/>
      <c r="Q61" s="42" t="s">
        <v>70</v>
      </c>
      <c r="R61" s="43"/>
    </row>
    <row r="62" spans="1:18" ht="13.5" customHeight="1" x14ac:dyDescent="0.55000000000000004">
      <c r="A62" s="21">
        <v>56</v>
      </c>
      <c r="B62" s="39" t="s">
        <v>268</v>
      </c>
      <c r="C62" s="39" t="s">
        <v>272</v>
      </c>
      <c r="D62" s="40">
        <v>31271</v>
      </c>
      <c r="E62" s="41">
        <v>1985</v>
      </c>
      <c r="F62" s="41">
        <f t="shared" si="0"/>
        <v>35</v>
      </c>
      <c r="G62" s="42" t="s">
        <v>270</v>
      </c>
      <c r="H62" s="42">
        <v>996920901</v>
      </c>
      <c r="I62" s="42"/>
      <c r="J62" s="42"/>
      <c r="K62" s="42"/>
      <c r="L62" s="42" t="s">
        <v>72</v>
      </c>
      <c r="M62" s="42"/>
      <c r="N62" s="42"/>
      <c r="O62" s="42"/>
      <c r="P62" s="42"/>
      <c r="Q62" s="42"/>
      <c r="R62" s="43"/>
    </row>
    <row r="63" spans="1:18" ht="13.5" customHeight="1" x14ac:dyDescent="0.55000000000000004">
      <c r="A63" s="21">
        <v>58</v>
      </c>
      <c r="B63" s="22" t="s">
        <v>273</v>
      </c>
      <c r="C63" s="22" t="s">
        <v>168</v>
      </c>
      <c r="D63" s="23">
        <v>33722</v>
      </c>
      <c r="E63" s="24">
        <v>1992</v>
      </c>
      <c r="F63" s="24">
        <f t="shared" si="0"/>
        <v>28</v>
      </c>
      <c r="G63" s="25" t="s">
        <v>274</v>
      </c>
      <c r="H63" s="33" t="s">
        <v>275</v>
      </c>
      <c r="I63" s="26"/>
      <c r="J63" s="33" t="s">
        <v>276</v>
      </c>
      <c r="K63" s="26" t="s">
        <v>277</v>
      </c>
      <c r="L63" s="26" t="s">
        <v>174</v>
      </c>
      <c r="M63" s="25" t="s">
        <v>134</v>
      </c>
      <c r="N63" s="25" t="s">
        <v>278</v>
      </c>
      <c r="O63" s="54" t="s">
        <v>135</v>
      </c>
      <c r="P63" s="33"/>
      <c r="Q63" s="36" t="s">
        <v>279</v>
      </c>
      <c r="R63" s="30" t="s">
        <v>280</v>
      </c>
    </row>
    <row r="64" spans="1:18" ht="12.75" customHeight="1" x14ac:dyDescent="0.55000000000000004">
      <c r="A64" s="73">
        <v>59</v>
      </c>
      <c r="B64" s="74" t="s">
        <v>281</v>
      </c>
      <c r="C64" s="74" t="s">
        <v>282</v>
      </c>
      <c r="D64" s="75">
        <v>26249</v>
      </c>
      <c r="E64" s="76">
        <v>1971</v>
      </c>
      <c r="F64" s="76">
        <f t="shared" si="0"/>
        <v>49</v>
      </c>
      <c r="G64" s="77" t="s">
        <v>283</v>
      </c>
      <c r="H64" s="16" t="s">
        <v>284</v>
      </c>
      <c r="I64" s="78"/>
      <c r="J64" s="78"/>
      <c r="K64" s="78"/>
      <c r="L64" s="78"/>
      <c r="M64" s="15" t="s">
        <v>93</v>
      </c>
      <c r="N64" s="15" t="s">
        <v>52</v>
      </c>
      <c r="O64" s="15"/>
      <c r="P64" s="18"/>
      <c r="Q64" s="79" t="s">
        <v>70</v>
      </c>
      <c r="R64" s="20"/>
    </row>
    <row r="65" spans="1:18" s="86" customFormat="1" ht="14.25" customHeight="1" x14ac:dyDescent="0.55000000000000004">
      <c r="A65" s="80">
        <v>60</v>
      </c>
      <c r="B65" s="81" t="s">
        <v>285</v>
      </c>
      <c r="C65" s="81" t="s">
        <v>181</v>
      </c>
      <c r="D65" s="82">
        <v>30391</v>
      </c>
      <c r="E65" s="83">
        <v>1983</v>
      </c>
      <c r="F65" s="83">
        <f t="shared" si="0"/>
        <v>37</v>
      </c>
      <c r="G65" s="84" t="s">
        <v>286</v>
      </c>
      <c r="H65" s="85" t="s">
        <v>287</v>
      </c>
      <c r="I65" s="42"/>
      <c r="J65" s="42"/>
      <c r="K65" s="42"/>
      <c r="L65" s="42"/>
      <c r="M65" s="42"/>
      <c r="N65" s="42"/>
      <c r="O65" s="42"/>
      <c r="P65" s="42"/>
      <c r="Q65" s="42"/>
      <c r="R65" s="43"/>
    </row>
    <row r="66" spans="1:18" ht="16.5" customHeight="1" x14ac:dyDescent="0.55000000000000004">
      <c r="A66" s="80">
        <v>61</v>
      </c>
      <c r="B66" s="87" t="s">
        <v>285</v>
      </c>
      <c r="C66" s="87" t="s">
        <v>288</v>
      </c>
      <c r="D66" s="88">
        <v>29579</v>
      </c>
      <c r="E66" s="89">
        <v>1980</v>
      </c>
      <c r="F66" s="89">
        <f t="shared" si="0"/>
        <v>40</v>
      </c>
      <c r="G66" s="90" t="s">
        <v>286</v>
      </c>
      <c r="H66" s="85" t="s">
        <v>287</v>
      </c>
      <c r="I66" s="50"/>
      <c r="J66" s="50" t="s">
        <v>289</v>
      </c>
      <c r="K66" s="50" t="s">
        <v>290</v>
      </c>
      <c r="L66" s="50" t="s">
        <v>291</v>
      </c>
      <c r="M66" s="53" t="s">
        <v>93</v>
      </c>
      <c r="N66" s="68"/>
      <c r="O66" s="91" t="s">
        <v>135</v>
      </c>
      <c r="P66" s="92"/>
      <c r="Q66" s="71" t="s">
        <v>70</v>
      </c>
      <c r="R66" s="72" t="s">
        <v>292</v>
      </c>
    </row>
    <row r="67" spans="1:18" ht="14.4" x14ac:dyDescent="0.55000000000000004">
      <c r="A67" s="93">
        <v>62</v>
      </c>
      <c r="B67" s="94" t="s">
        <v>293</v>
      </c>
      <c r="C67" s="94" t="s">
        <v>294</v>
      </c>
      <c r="D67" s="95"/>
      <c r="E67" s="95"/>
      <c r="F67" s="95"/>
      <c r="G67" s="95" t="s">
        <v>295</v>
      </c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</row>
    <row r="68" spans="1:18" x14ac:dyDescent="0.4">
      <c r="A68" s="96">
        <v>63</v>
      </c>
      <c r="B68" s="95" t="s">
        <v>296</v>
      </c>
      <c r="C68" s="95" t="s">
        <v>297</v>
      </c>
      <c r="D68" s="97"/>
      <c r="E68" s="98"/>
      <c r="F68" s="98"/>
      <c r="G68" s="99" t="s">
        <v>298</v>
      </c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5"/>
    </row>
    <row r="69" spans="1:18" x14ac:dyDescent="0.4">
      <c r="A69" s="96">
        <v>64</v>
      </c>
      <c r="B69" s="95" t="s">
        <v>168</v>
      </c>
      <c r="C69" s="95" t="s">
        <v>299</v>
      </c>
      <c r="D69" s="97"/>
      <c r="E69" s="98"/>
      <c r="F69" s="98"/>
      <c r="G69" s="99" t="s">
        <v>300</v>
      </c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5"/>
    </row>
    <row r="70" spans="1:18" x14ac:dyDescent="0.4">
      <c r="A70" s="96">
        <v>65</v>
      </c>
      <c r="B70" s="95" t="s">
        <v>301</v>
      </c>
      <c r="C70" s="95" t="s">
        <v>302</v>
      </c>
      <c r="D70" s="97"/>
      <c r="E70" s="98"/>
      <c r="F70" s="98"/>
      <c r="G70" s="99" t="s">
        <v>303</v>
      </c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5"/>
    </row>
    <row r="71" spans="1:18" ht="14.25" customHeight="1" x14ac:dyDescent="0.4">
      <c r="A71" s="96">
        <v>66</v>
      </c>
      <c r="B71" s="95" t="s">
        <v>161</v>
      </c>
      <c r="C71" s="95" t="s">
        <v>304</v>
      </c>
      <c r="D71" s="97"/>
      <c r="E71" s="98"/>
      <c r="F71" s="98"/>
      <c r="G71" s="99" t="s">
        <v>305</v>
      </c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5"/>
    </row>
    <row r="72" spans="1:18" x14ac:dyDescent="0.4">
      <c r="A72" s="96">
        <v>67</v>
      </c>
      <c r="B72" s="95" t="s">
        <v>306</v>
      </c>
      <c r="C72" s="95" t="s">
        <v>307</v>
      </c>
      <c r="D72" s="97"/>
      <c r="E72" s="98"/>
      <c r="F72" s="98"/>
      <c r="G72" s="99" t="s">
        <v>76</v>
      </c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5"/>
    </row>
    <row r="73" spans="1:18" x14ac:dyDescent="0.4">
      <c r="A73" s="96">
        <v>68</v>
      </c>
      <c r="B73" s="95"/>
      <c r="C73" s="95"/>
      <c r="D73" s="97"/>
      <c r="E73" s="98"/>
      <c r="F73" s="98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5"/>
    </row>
    <row r="74" spans="1:18" x14ac:dyDescent="0.4">
      <c r="A74" s="96">
        <v>69</v>
      </c>
      <c r="B74" s="95"/>
      <c r="C74" s="95"/>
      <c r="D74" s="97"/>
      <c r="E74" s="98"/>
      <c r="F74" s="98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5"/>
    </row>
    <row r="75" spans="1:18" x14ac:dyDescent="0.4">
      <c r="A75" s="96">
        <v>70</v>
      </c>
      <c r="B75" s="95"/>
      <c r="C75" s="95"/>
      <c r="D75" s="97"/>
      <c r="E75" s="98"/>
      <c r="F75" s="98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5"/>
    </row>
    <row r="76" spans="1:18" x14ac:dyDescent="0.4">
      <c r="A76" s="96">
        <v>71</v>
      </c>
      <c r="B76" s="95"/>
      <c r="C76" s="95"/>
      <c r="D76" s="97"/>
      <c r="E76" s="98"/>
      <c r="F76" s="98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5"/>
    </row>
    <row r="77" spans="1:18" x14ac:dyDescent="0.4">
      <c r="A77" s="96">
        <v>72</v>
      </c>
      <c r="B77" s="95"/>
      <c r="C77" s="95"/>
      <c r="D77" s="97"/>
      <c r="E77" s="98"/>
      <c r="F77" s="98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5"/>
    </row>
    <row r="78" spans="1:18" x14ac:dyDescent="0.4">
      <c r="A78" s="96">
        <v>73</v>
      </c>
      <c r="B78" s="95"/>
      <c r="C78" s="95"/>
      <c r="D78" s="97"/>
      <c r="E78" s="98"/>
      <c r="F78" s="98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5"/>
    </row>
    <row r="79" spans="1:18" x14ac:dyDescent="0.4">
      <c r="A79" s="96">
        <v>74</v>
      </c>
      <c r="B79" s="95"/>
      <c r="C79" s="95"/>
      <c r="D79" s="97"/>
      <c r="E79" s="98"/>
      <c r="F79" s="98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5"/>
    </row>
    <row r="80" spans="1:18" x14ac:dyDescent="0.4">
      <c r="A80" s="96">
        <v>75</v>
      </c>
      <c r="B80" s="95"/>
      <c r="C80" s="95"/>
      <c r="D80" s="97"/>
      <c r="E80" s="98"/>
      <c r="F80" s="98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5"/>
    </row>
    <row r="81" spans="1:18" x14ac:dyDescent="0.4">
      <c r="A81" s="96">
        <v>76</v>
      </c>
      <c r="B81" s="95"/>
      <c r="C81" s="95"/>
      <c r="D81" s="97"/>
      <c r="E81" s="98"/>
      <c r="F81" s="98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5"/>
    </row>
    <row r="82" spans="1:18" x14ac:dyDescent="0.4">
      <c r="A82" s="96">
        <v>77</v>
      </c>
      <c r="B82" s="95"/>
      <c r="C82" s="95"/>
      <c r="D82" s="97"/>
      <c r="E82" s="98"/>
      <c r="F82" s="98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5"/>
    </row>
    <row r="83" spans="1:18" x14ac:dyDescent="0.4">
      <c r="A83" s="96">
        <v>78</v>
      </c>
      <c r="B83" s="95"/>
      <c r="C83" s="95"/>
      <c r="D83" s="97"/>
      <c r="E83" s="98"/>
      <c r="F83" s="98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5"/>
    </row>
    <row r="84" spans="1:18" x14ac:dyDescent="0.4">
      <c r="A84" s="96">
        <v>79</v>
      </c>
      <c r="B84" s="95"/>
      <c r="C84" s="95"/>
      <c r="D84" s="97"/>
      <c r="E84" s="98"/>
      <c r="F84" s="98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5"/>
    </row>
    <row r="85" spans="1:18" x14ac:dyDescent="0.4">
      <c r="A85" s="96">
        <v>80</v>
      </c>
      <c r="B85" s="95"/>
      <c r="C85" s="95"/>
      <c r="D85" s="97"/>
      <c r="E85" s="98"/>
      <c r="F85" s="98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5"/>
    </row>
    <row r="86" spans="1:18" x14ac:dyDescent="0.4">
      <c r="A86" s="96">
        <v>81</v>
      </c>
      <c r="B86" s="95"/>
      <c r="C86" s="95"/>
      <c r="D86" s="97"/>
      <c r="E86" s="98"/>
      <c r="F86" s="98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5"/>
    </row>
    <row r="87" spans="1:18" x14ac:dyDescent="0.4">
      <c r="A87" s="96">
        <v>82</v>
      </c>
      <c r="B87" s="95"/>
      <c r="C87" s="95"/>
      <c r="D87" s="97"/>
      <c r="E87" s="98"/>
      <c r="F87" s="98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5"/>
    </row>
    <row r="88" spans="1:18" x14ac:dyDescent="0.4">
      <c r="A88" s="96">
        <v>83</v>
      </c>
      <c r="B88" s="95"/>
      <c r="C88" s="95"/>
      <c r="D88" s="97"/>
      <c r="E88" s="98"/>
      <c r="F88" s="98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5"/>
    </row>
    <row r="89" spans="1:18" x14ac:dyDescent="0.4">
      <c r="A89" s="96">
        <v>84</v>
      </c>
      <c r="B89" s="95"/>
      <c r="C89" s="95"/>
      <c r="D89" s="97"/>
      <c r="E89" s="98"/>
      <c r="F89" s="98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5"/>
    </row>
    <row r="90" spans="1:18" x14ac:dyDescent="0.4">
      <c r="A90" s="96">
        <v>85</v>
      </c>
      <c r="B90" s="95"/>
      <c r="C90" s="95"/>
      <c r="D90" s="97"/>
      <c r="E90" s="98"/>
      <c r="F90" s="98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5"/>
    </row>
    <row r="91" spans="1:18" x14ac:dyDescent="0.4">
      <c r="A91" s="96">
        <v>86</v>
      </c>
      <c r="B91" s="95"/>
      <c r="C91" s="95"/>
      <c r="D91" s="97"/>
      <c r="E91" s="98"/>
      <c r="F91" s="98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5"/>
    </row>
    <row r="92" spans="1:18" x14ac:dyDescent="0.4">
      <c r="A92" s="96">
        <v>87</v>
      </c>
      <c r="B92" s="95"/>
      <c r="C92" s="95"/>
      <c r="D92" s="97"/>
      <c r="E92" s="98"/>
      <c r="F92" s="98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5"/>
    </row>
    <row r="93" spans="1:18" x14ac:dyDescent="0.4">
      <c r="A93" s="96">
        <v>88</v>
      </c>
      <c r="B93" s="95"/>
      <c r="C93" s="95"/>
      <c r="D93" s="97"/>
      <c r="E93" s="98"/>
      <c r="F93" s="98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5"/>
    </row>
    <row r="94" spans="1:18" x14ac:dyDescent="0.4">
      <c r="A94" s="96">
        <v>89</v>
      </c>
      <c r="B94" s="95"/>
      <c r="C94" s="95"/>
      <c r="D94" s="97"/>
      <c r="E94" s="98"/>
      <c r="F94" s="98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5"/>
    </row>
    <row r="95" spans="1:18" x14ac:dyDescent="0.4">
      <c r="A95" s="96">
        <v>90</v>
      </c>
      <c r="B95" s="95"/>
      <c r="C95" s="95"/>
      <c r="D95" s="97"/>
      <c r="E95" s="98"/>
      <c r="F95" s="98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5"/>
    </row>
    <row r="96" spans="1:18" x14ac:dyDescent="0.4">
      <c r="A96" s="96">
        <v>91</v>
      </c>
      <c r="B96" s="95"/>
      <c r="C96" s="95"/>
      <c r="D96" s="97"/>
      <c r="E96" s="98"/>
      <c r="F96" s="98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5"/>
    </row>
    <row r="97" spans="1:18" x14ac:dyDescent="0.4">
      <c r="A97" s="96">
        <v>92</v>
      </c>
      <c r="B97" s="95"/>
      <c r="C97" s="95"/>
      <c r="D97" s="97"/>
      <c r="E97" s="98"/>
      <c r="F97" s="98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5"/>
    </row>
  </sheetData>
  <sheetProtection selectLockedCells="1" selectUnlockedCells="1"/>
  <hyperlinks>
    <hyperlink ref="P24" r:id="rId1" xr:uid="{16662870-08CF-4BBF-B1AC-C7941CFE678F}"/>
    <hyperlink ref="P27" r:id="rId2" xr:uid="{8B1F9B41-62E2-4F89-9C90-DEAB7522F222}"/>
    <hyperlink ref="P42" r:id="rId3" xr:uid="{48A5BB0B-23F0-42AC-90FD-F6F13B7BE716}"/>
    <hyperlink ref="P52" r:id="rId4" xr:uid="{919D7942-0930-47B5-9A9B-E9DD0C533AB8}"/>
  </hyperlinks>
  <pageMargins left="0.70866141732283472" right="0.70866141732283472" top="0.74803149606299213" bottom="0.74803149606299213" header="0.51181102362204722" footer="0.51181102362204722"/>
  <pageSetup paperSize="9" scale="140" firstPageNumber="0" orientation="portrait" verticalDpi="300" r:id="rId5"/>
  <headerFooter alignWithMargins="0"/>
  <rowBreaks count="1" manualBreakCount="1">
    <brk id="35" max="16383" man="1"/>
  </rowBreak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1</vt:i4>
      </vt:variant>
      <vt:variant>
        <vt:lpstr>Imenovani rasponi</vt:lpstr>
      </vt:variant>
      <vt:variant>
        <vt:i4>1</vt:i4>
      </vt:variant>
    </vt:vector>
  </HeadingPairs>
  <TitlesOfParts>
    <vt:vector size="2" baseType="lpstr">
      <vt:lpstr>NOVO</vt:lpstr>
      <vt:lpstr>NOVO!Excel_BuiltIn__FilterDatabase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Atila Vadoci</dc:creator>
  <cp:lastModifiedBy>Atila Vadoci</cp:lastModifiedBy>
  <dcterms:created xsi:type="dcterms:W3CDTF">2026-03-28T12:09:11Z</dcterms:created>
  <dcterms:modified xsi:type="dcterms:W3CDTF">2026-03-28T12:09:54Z</dcterms:modified>
</cp:coreProperties>
</file>